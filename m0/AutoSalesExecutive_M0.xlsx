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vid Fortich\Code\rogue dealership\m0\"/>
    </mc:Choice>
  </mc:AlternateContent>
  <xr:revisionPtr revIDLastSave="0" documentId="13_ncr:1_{877F6FEC-C319-40EB-9E23-5E4874AB359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Read Me" sheetId="1" r:id="rId1"/>
    <sheet name="Assumptions" sheetId="2" r:id="rId2"/>
    <sheet name="Objections" sheetId="3" r:id="rId3"/>
    <sheet name="Cards" sheetId="4" r:id="rId4"/>
    <sheet name="Customers" sheetId="5" r:id="rId5"/>
    <sheet name="Encounter Sim" sheetId="6" r:id="rId6"/>
    <sheet name="Balance Check" sheetId="7" r:id="rId7"/>
    <sheet name="Print &amp; Pla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8" l="1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B24" i="7"/>
  <c r="B23" i="7"/>
  <c r="B22" i="7"/>
  <c r="B21" i="7"/>
  <c r="B20" i="7"/>
  <c r="B19" i="7"/>
  <c r="B18" i="7"/>
  <c r="B17" i="7"/>
  <c r="L7" i="7"/>
  <c r="D7" i="7"/>
  <c r="C7" i="7"/>
  <c r="E7" i="7" s="1"/>
  <c r="B7" i="7"/>
  <c r="A7" i="7"/>
  <c r="L6" i="7"/>
  <c r="D6" i="7"/>
  <c r="C6" i="7"/>
  <c r="E6" i="7" s="1"/>
  <c r="F6" i="7" s="1"/>
  <c r="B6" i="7"/>
  <c r="A6" i="7"/>
  <c r="L5" i="7"/>
  <c r="D5" i="7"/>
  <c r="C5" i="7"/>
  <c r="E5" i="7" s="1"/>
  <c r="F5" i="7" s="1"/>
  <c r="B5" i="7"/>
  <c r="A5" i="7"/>
  <c r="L76" i="6"/>
  <c r="K76" i="6"/>
  <c r="J76" i="6"/>
  <c r="I76" i="6"/>
  <c r="H76" i="6"/>
  <c r="G76" i="6"/>
  <c r="F76" i="6"/>
  <c r="E76" i="6"/>
  <c r="N76" i="6" s="1"/>
  <c r="D76" i="6"/>
  <c r="L75" i="6"/>
  <c r="K75" i="6"/>
  <c r="J75" i="6"/>
  <c r="I75" i="6"/>
  <c r="H75" i="6"/>
  <c r="G75" i="6"/>
  <c r="F75" i="6"/>
  <c r="E75" i="6"/>
  <c r="N75" i="6" s="1"/>
  <c r="D75" i="6"/>
  <c r="L74" i="6"/>
  <c r="K74" i="6"/>
  <c r="J74" i="6"/>
  <c r="I74" i="6"/>
  <c r="H74" i="6"/>
  <c r="G74" i="6"/>
  <c r="F74" i="6"/>
  <c r="E74" i="6"/>
  <c r="D74" i="6"/>
  <c r="L73" i="6"/>
  <c r="K73" i="6"/>
  <c r="J73" i="6"/>
  <c r="I73" i="6"/>
  <c r="H73" i="6"/>
  <c r="G73" i="6"/>
  <c r="F73" i="6"/>
  <c r="E73" i="6"/>
  <c r="N73" i="6" s="1"/>
  <c r="D73" i="6"/>
  <c r="L72" i="6"/>
  <c r="K72" i="6"/>
  <c r="J72" i="6"/>
  <c r="I72" i="6"/>
  <c r="H72" i="6"/>
  <c r="G72" i="6"/>
  <c r="F72" i="6"/>
  <c r="E72" i="6"/>
  <c r="N72" i="6" s="1"/>
  <c r="D72" i="6"/>
  <c r="L71" i="6"/>
  <c r="M71" i="6" s="1"/>
  <c r="K71" i="6"/>
  <c r="J71" i="6"/>
  <c r="I71" i="6"/>
  <c r="H71" i="6"/>
  <c r="G71" i="6"/>
  <c r="F71" i="6"/>
  <c r="E71" i="6"/>
  <c r="N71" i="6" s="1"/>
  <c r="D71" i="6"/>
  <c r="L70" i="6"/>
  <c r="M70" i="6" s="1"/>
  <c r="K70" i="6"/>
  <c r="J70" i="6"/>
  <c r="I70" i="6"/>
  <c r="H70" i="6"/>
  <c r="G70" i="6"/>
  <c r="F70" i="6"/>
  <c r="E70" i="6"/>
  <c r="D70" i="6"/>
  <c r="L69" i="6"/>
  <c r="K69" i="6"/>
  <c r="J69" i="6"/>
  <c r="I69" i="6"/>
  <c r="H69" i="6"/>
  <c r="G69" i="6"/>
  <c r="F69" i="6"/>
  <c r="E69" i="6"/>
  <c r="N69" i="6" s="1"/>
  <c r="D69" i="6"/>
  <c r="L68" i="6"/>
  <c r="K68" i="6"/>
  <c r="J68" i="6"/>
  <c r="I68" i="6"/>
  <c r="H68" i="6"/>
  <c r="G68" i="6"/>
  <c r="F68" i="6"/>
  <c r="E68" i="6"/>
  <c r="N68" i="6" s="1"/>
  <c r="D68" i="6"/>
  <c r="L67" i="6"/>
  <c r="M67" i="6" s="1"/>
  <c r="K67" i="6"/>
  <c r="J67" i="6"/>
  <c r="I67" i="6"/>
  <c r="H67" i="6"/>
  <c r="G67" i="6"/>
  <c r="F67" i="6"/>
  <c r="E67" i="6"/>
  <c r="N67" i="6" s="1"/>
  <c r="D67" i="6"/>
  <c r="L66" i="6"/>
  <c r="M66" i="6" s="1"/>
  <c r="K66" i="6"/>
  <c r="J66" i="6"/>
  <c r="I66" i="6"/>
  <c r="H66" i="6"/>
  <c r="G66" i="6"/>
  <c r="F66" i="6"/>
  <c r="E66" i="6"/>
  <c r="N66" i="6" s="1"/>
  <c r="D66" i="6"/>
  <c r="L65" i="6"/>
  <c r="K65" i="6"/>
  <c r="J65" i="6"/>
  <c r="I65" i="6"/>
  <c r="H65" i="6"/>
  <c r="G65" i="6"/>
  <c r="F65" i="6"/>
  <c r="E65" i="6"/>
  <c r="N65" i="6" s="1"/>
  <c r="D65" i="6"/>
  <c r="L64" i="6"/>
  <c r="K64" i="6"/>
  <c r="J64" i="6"/>
  <c r="I64" i="6"/>
  <c r="H64" i="6"/>
  <c r="G64" i="6"/>
  <c r="F64" i="6"/>
  <c r="E64" i="6"/>
  <c r="N64" i="6" s="1"/>
  <c r="D64" i="6"/>
  <c r="N63" i="6"/>
  <c r="L63" i="6"/>
  <c r="K63" i="6"/>
  <c r="J63" i="6"/>
  <c r="I63" i="6"/>
  <c r="H63" i="6"/>
  <c r="G63" i="6"/>
  <c r="F63" i="6"/>
  <c r="E63" i="6"/>
  <c r="D63" i="6"/>
  <c r="L62" i="6"/>
  <c r="M62" i="6" s="1"/>
  <c r="K62" i="6"/>
  <c r="J62" i="6"/>
  <c r="I62" i="6"/>
  <c r="H62" i="6"/>
  <c r="G62" i="6"/>
  <c r="F62" i="6"/>
  <c r="E62" i="6"/>
  <c r="N62" i="6" s="1"/>
  <c r="D62" i="6"/>
  <c r="L61" i="6"/>
  <c r="M61" i="6" s="1"/>
  <c r="K61" i="6"/>
  <c r="J61" i="6"/>
  <c r="I61" i="6"/>
  <c r="H61" i="6"/>
  <c r="G61" i="6"/>
  <c r="F61" i="6"/>
  <c r="E61" i="6"/>
  <c r="N61" i="6" s="1"/>
  <c r="D61" i="6"/>
  <c r="L60" i="6"/>
  <c r="K60" i="6"/>
  <c r="J60" i="6"/>
  <c r="I60" i="6"/>
  <c r="H60" i="6"/>
  <c r="G60" i="6"/>
  <c r="F60" i="6"/>
  <c r="E60" i="6"/>
  <c r="N60" i="6" s="1"/>
  <c r="D60" i="6"/>
  <c r="L59" i="6"/>
  <c r="K59" i="6"/>
  <c r="J59" i="6"/>
  <c r="I59" i="6"/>
  <c r="H59" i="6"/>
  <c r="G59" i="6"/>
  <c r="F59" i="6"/>
  <c r="E59" i="6"/>
  <c r="N59" i="6" s="1"/>
  <c r="D59" i="6"/>
  <c r="L58" i="6"/>
  <c r="K58" i="6"/>
  <c r="J58" i="6"/>
  <c r="I58" i="6"/>
  <c r="H58" i="6"/>
  <c r="G58" i="6"/>
  <c r="F58" i="6"/>
  <c r="E58" i="6"/>
  <c r="D58" i="6"/>
  <c r="L57" i="6"/>
  <c r="M57" i="6" s="1"/>
  <c r="K57" i="6"/>
  <c r="J57" i="6"/>
  <c r="I57" i="6"/>
  <c r="H57" i="6"/>
  <c r="G57" i="6"/>
  <c r="F57" i="6"/>
  <c r="E57" i="6"/>
  <c r="N57" i="6" s="1"/>
  <c r="D57" i="6"/>
  <c r="L56" i="6"/>
  <c r="K56" i="6"/>
  <c r="J56" i="6"/>
  <c r="I56" i="6"/>
  <c r="H56" i="6"/>
  <c r="G56" i="6"/>
  <c r="F56" i="6"/>
  <c r="E56" i="6"/>
  <c r="N56" i="6" s="1"/>
  <c r="D56" i="6"/>
  <c r="L55" i="6"/>
  <c r="K55" i="6"/>
  <c r="J55" i="6"/>
  <c r="I55" i="6"/>
  <c r="H55" i="6"/>
  <c r="G55" i="6"/>
  <c r="F55" i="6"/>
  <c r="E55" i="6"/>
  <c r="N55" i="6" s="1"/>
  <c r="D55" i="6"/>
  <c r="L54" i="6"/>
  <c r="K54" i="6"/>
  <c r="J54" i="6"/>
  <c r="I54" i="6"/>
  <c r="H54" i="6"/>
  <c r="G54" i="6"/>
  <c r="F54" i="6"/>
  <c r="E54" i="6"/>
  <c r="D54" i="6"/>
  <c r="L53" i="6"/>
  <c r="K53" i="6"/>
  <c r="J53" i="6"/>
  <c r="I53" i="6"/>
  <c r="H53" i="6"/>
  <c r="G53" i="6"/>
  <c r="F53" i="6"/>
  <c r="E53" i="6"/>
  <c r="N53" i="6" s="1"/>
  <c r="D53" i="6"/>
  <c r="L52" i="6"/>
  <c r="K52" i="6"/>
  <c r="J52" i="6"/>
  <c r="I52" i="6"/>
  <c r="H52" i="6"/>
  <c r="G52" i="6"/>
  <c r="F52" i="6"/>
  <c r="E52" i="6"/>
  <c r="N52" i="6" s="1"/>
  <c r="D52" i="6"/>
  <c r="L51" i="6"/>
  <c r="M51" i="6" s="1"/>
  <c r="K51" i="6"/>
  <c r="J51" i="6"/>
  <c r="I51" i="6"/>
  <c r="H51" i="6"/>
  <c r="G51" i="6"/>
  <c r="F51" i="6"/>
  <c r="E51" i="6"/>
  <c r="N51" i="6" s="1"/>
  <c r="D51" i="6"/>
  <c r="L50" i="6"/>
  <c r="M50" i="6" s="1"/>
  <c r="K50" i="6"/>
  <c r="J50" i="6"/>
  <c r="I50" i="6"/>
  <c r="H50" i="6"/>
  <c r="G50" i="6"/>
  <c r="F50" i="6"/>
  <c r="E50" i="6"/>
  <c r="D50" i="6"/>
  <c r="L49" i="6"/>
  <c r="K49" i="6"/>
  <c r="J49" i="6"/>
  <c r="I49" i="6"/>
  <c r="H49" i="6"/>
  <c r="G49" i="6"/>
  <c r="F49" i="6"/>
  <c r="E49" i="6"/>
  <c r="D49" i="6"/>
  <c r="L48" i="6"/>
  <c r="K48" i="6"/>
  <c r="J48" i="6"/>
  <c r="I48" i="6"/>
  <c r="H48" i="6"/>
  <c r="G48" i="6"/>
  <c r="F48" i="6"/>
  <c r="E48" i="6"/>
  <c r="N48" i="6" s="1"/>
  <c r="D48" i="6"/>
  <c r="L47" i="6"/>
  <c r="M47" i="6" s="1"/>
  <c r="K47" i="6"/>
  <c r="J47" i="6"/>
  <c r="I47" i="6"/>
  <c r="H47" i="6"/>
  <c r="G47" i="6"/>
  <c r="F47" i="6"/>
  <c r="E47" i="6"/>
  <c r="D47" i="6"/>
  <c r="L46" i="6"/>
  <c r="M46" i="6" s="1"/>
  <c r="K46" i="6"/>
  <c r="J46" i="6"/>
  <c r="I46" i="6"/>
  <c r="H46" i="6"/>
  <c r="G46" i="6"/>
  <c r="F46" i="6"/>
  <c r="E46" i="6"/>
  <c r="N46" i="6" s="1"/>
  <c r="D46" i="6"/>
  <c r="L45" i="6"/>
  <c r="M45" i="6" s="1"/>
  <c r="K45" i="6"/>
  <c r="J45" i="6"/>
  <c r="I45" i="6"/>
  <c r="H45" i="6"/>
  <c r="G45" i="6"/>
  <c r="F45" i="6"/>
  <c r="E45" i="6"/>
  <c r="D45" i="6"/>
  <c r="L44" i="6"/>
  <c r="K44" i="6"/>
  <c r="J44" i="6"/>
  <c r="I44" i="6"/>
  <c r="H44" i="6"/>
  <c r="G44" i="6"/>
  <c r="F44" i="6"/>
  <c r="E44" i="6"/>
  <c r="N44" i="6" s="1"/>
  <c r="D44" i="6"/>
  <c r="L43" i="6"/>
  <c r="K43" i="6"/>
  <c r="J43" i="6"/>
  <c r="I43" i="6"/>
  <c r="H43" i="6"/>
  <c r="G43" i="6"/>
  <c r="F43" i="6"/>
  <c r="E43" i="6"/>
  <c r="D43" i="6"/>
  <c r="L42" i="6"/>
  <c r="K42" i="6"/>
  <c r="J42" i="6"/>
  <c r="I42" i="6"/>
  <c r="H42" i="6"/>
  <c r="G42" i="6"/>
  <c r="F42" i="6"/>
  <c r="E42" i="6"/>
  <c r="D42" i="6"/>
  <c r="L41" i="6"/>
  <c r="K41" i="6"/>
  <c r="J41" i="6"/>
  <c r="I41" i="6"/>
  <c r="H41" i="6"/>
  <c r="G41" i="6"/>
  <c r="F41" i="6"/>
  <c r="E41" i="6"/>
  <c r="D41" i="6"/>
  <c r="L40" i="6"/>
  <c r="K40" i="6"/>
  <c r="J40" i="6"/>
  <c r="I40" i="6"/>
  <c r="H40" i="6"/>
  <c r="G40" i="6"/>
  <c r="F40" i="6"/>
  <c r="E40" i="6"/>
  <c r="N40" i="6" s="1"/>
  <c r="D40" i="6"/>
  <c r="P39" i="6"/>
  <c r="O39" i="6"/>
  <c r="L39" i="6"/>
  <c r="K39" i="6"/>
  <c r="J39" i="6"/>
  <c r="I39" i="6"/>
  <c r="H39" i="6"/>
  <c r="V22" i="6" s="1"/>
  <c r="G39" i="6"/>
  <c r="F39" i="6"/>
  <c r="E39" i="6"/>
  <c r="D39" i="6"/>
  <c r="O38" i="6"/>
  <c r="L38" i="6"/>
  <c r="M38" i="6" s="1"/>
  <c r="K38" i="6"/>
  <c r="J38" i="6"/>
  <c r="I38" i="6"/>
  <c r="G22" i="6" s="1"/>
  <c r="H38" i="6"/>
  <c r="G38" i="6"/>
  <c r="F38" i="6"/>
  <c r="E38" i="6"/>
  <c r="P38" i="6" s="1"/>
  <c r="D38" i="6"/>
  <c r="O37" i="6"/>
  <c r="L37" i="6"/>
  <c r="M37" i="6" s="1"/>
  <c r="K37" i="6"/>
  <c r="J37" i="6"/>
  <c r="I37" i="6"/>
  <c r="H37" i="6"/>
  <c r="G37" i="6"/>
  <c r="F37" i="6"/>
  <c r="E37" i="6"/>
  <c r="P37" i="6" s="1"/>
  <c r="D37" i="6"/>
  <c r="G33" i="6"/>
  <c r="F33" i="6"/>
  <c r="E33" i="6"/>
  <c r="D33" i="6"/>
  <c r="G32" i="6"/>
  <c r="AC32" i="6" s="1"/>
  <c r="F32" i="6"/>
  <c r="E32" i="6"/>
  <c r="D32" i="6"/>
  <c r="G31" i="6"/>
  <c r="F31" i="6"/>
  <c r="E31" i="6"/>
  <c r="D31" i="6"/>
  <c r="AC30" i="6"/>
  <c r="G30" i="6"/>
  <c r="F30" i="6"/>
  <c r="E30" i="6"/>
  <c r="D30" i="6"/>
  <c r="R30" i="6" s="1"/>
  <c r="G29" i="6"/>
  <c r="F29" i="6"/>
  <c r="E29" i="6"/>
  <c r="D29" i="6"/>
  <c r="G28" i="6"/>
  <c r="F28" i="6"/>
  <c r="E28" i="6"/>
  <c r="D28" i="6"/>
  <c r="O29" i="6" s="1"/>
  <c r="F27" i="6"/>
  <c r="E27" i="6"/>
  <c r="D27" i="6"/>
  <c r="F26" i="6"/>
  <c r="E26" i="6"/>
  <c r="D26" i="6"/>
  <c r="F25" i="6"/>
  <c r="E25" i="6"/>
  <c r="D25" i="6"/>
  <c r="F24" i="6"/>
  <c r="E24" i="6"/>
  <c r="D24" i="6"/>
  <c r="U23" i="6"/>
  <c r="K23" i="6"/>
  <c r="F23" i="6"/>
  <c r="E23" i="6"/>
  <c r="D23" i="6"/>
  <c r="A23" i="6"/>
  <c r="A24" i="6" s="1"/>
  <c r="L22" i="6"/>
  <c r="K22" i="6"/>
  <c r="H22" i="6"/>
  <c r="F22" i="6"/>
  <c r="E22" i="6"/>
  <c r="D22" i="6"/>
  <c r="C22" i="6"/>
  <c r="B12" i="6"/>
  <c r="B11" i="6"/>
  <c r="N22" i="6" s="1"/>
  <c r="B10" i="6"/>
  <c r="M22" i="6" s="1"/>
  <c r="B9" i="6"/>
  <c r="B8" i="6"/>
  <c r="B6" i="6"/>
  <c r="B4" i="6"/>
  <c r="J6" i="5"/>
  <c r="I6" i="5"/>
  <c r="H6" i="5"/>
  <c r="J5" i="5"/>
  <c r="B7" i="6" s="1"/>
  <c r="I5" i="5"/>
  <c r="H5" i="5"/>
  <c r="J4" i="5"/>
  <c r="I4" i="5"/>
  <c r="H4" i="5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K7" i="7" s="1"/>
  <c r="M7" i="7" s="1"/>
  <c r="P7" i="4"/>
  <c r="P6" i="4"/>
  <c r="P5" i="4"/>
  <c r="P4" i="4"/>
  <c r="K6" i="7" s="1"/>
  <c r="M6" i="7" s="1"/>
  <c r="M76" i="6" l="1"/>
  <c r="M59" i="6"/>
  <c r="M73" i="6"/>
  <c r="Y22" i="6"/>
  <c r="O31" i="6"/>
  <c r="I22" i="6"/>
  <c r="J22" i="6" s="1"/>
  <c r="M43" i="6"/>
  <c r="M49" i="6"/>
  <c r="M54" i="6"/>
  <c r="M69" i="6"/>
  <c r="M74" i="6"/>
  <c r="M63" i="6"/>
  <c r="M42" i="6"/>
  <c r="M53" i="6"/>
  <c r="U22" i="6"/>
  <c r="M55" i="6"/>
  <c r="M75" i="6"/>
  <c r="AB23" i="6"/>
  <c r="P24" i="6" s="1"/>
  <c r="O43" i="6" s="1"/>
  <c r="M41" i="6"/>
  <c r="M58" i="6"/>
  <c r="K5" i="7"/>
  <c r="M5" i="7" s="1"/>
  <c r="AC28" i="6"/>
  <c r="R32" i="6"/>
  <c r="M39" i="6"/>
  <c r="Q39" i="6" s="1"/>
  <c r="O33" i="6"/>
  <c r="AB22" i="6"/>
  <c r="P23" i="6" s="1"/>
  <c r="M65" i="6"/>
  <c r="AA24" i="6"/>
  <c r="K24" i="6"/>
  <c r="C24" i="6"/>
  <c r="W24" i="6" s="1"/>
  <c r="Y24" i="6"/>
  <c r="I24" i="6"/>
  <c r="A25" i="6"/>
  <c r="V24" i="6"/>
  <c r="G24" i="6"/>
  <c r="AC24" i="6" s="1"/>
  <c r="U24" i="6"/>
  <c r="N70" i="6"/>
  <c r="O25" i="6"/>
  <c r="P45" i="6" s="1"/>
  <c r="R24" i="6"/>
  <c r="Z24" i="6"/>
  <c r="Z22" i="6"/>
  <c r="M23" i="6" s="1"/>
  <c r="AB24" i="6"/>
  <c r="P25" i="6" s="1"/>
  <c r="N38" i="6"/>
  <c r="Q38" i="6" s="1"/>
  <c r="AA22" i="6"/>
  <c r="N23" i="6" s="1"/>
  <c r="B5" i="6"/>
  <c r="W22" i="6"/>
  <c r="X22" i="6" s="1"/>
  <c r="L23" i="6"/>
  <c r="N41" i="6" s="1"/>
  <c r="N39" i="6"/>
  <c r="O32" i="6"/>
  <c r="AC31" i="6"/>
  <c r="R31" i="6"/>
  <c r="N58" i="6"/>
  <c r="G7" i="7"/>
  <c r="F7" i="7"/>
  <c r="H7" i="7" s="1"/>
  <c r="I7" i="7" s="1"/>
  <c r="O23" i="6"/>
  <c r="AC22" i="6"/>
  <c r="H23" i="6" s="1"/>
  <c r="G5" i="7"/>
  <c r="H5" i="7" s="1"/>
  <c r="AC33" i="6"/>
  <c r="R33" i="6"/>
  <c r="N37" i="6"/>
  <c r="Q37" i="6" s="1"/>
  <c r="O40" i="6"/>
  <c r="Y23" i="6"/>
  <c r="I23" i="6"/>
  <c r="O45" i="6"/>
  <c r="O41" i="6"/>
  <c r="G23" i="6"/>
  <c r="V23" i="6"/>
  <c r="O42" i="6"/>
  <c r="Z23" i="6"/>
  <c r="G6" i="7"/>
  <c r="H6" i="7" s="1"/>
  <c r="J6" i="7" s="1"/>
  <c r="R28" i="6"/>
  <c r="R22" i="6"/>
  <c r="O30" i="6"/>
  <c r="AC29" i="6"/>
  <c r="R29" i="6"/>
  <c r="N54" i="6"/>
  <c r="C23" i="6"/>
  <c r="AA23" i="6"/>
  <c r="N42" i="6"/>
  <c r="N74" i="6"/>
  <c r="M40" i="6"/>
  <c r="M44" i="6"/>
  <c r="M48" i="6"/>
  <c r="M52" i="6"/>
  <c r="M56" i="6"/>
  <c r="M60" i="6"/>
  <c r="M64" i="6"/>
  <c r="M68" i="6"/>
  <c r="M72" i="6"/>
  <c r="W23" i="6" l="1"/>
  <c r="J23" i="6"/>
  <c r="J7" i="7"/>
  <c r="N7" i="7" s="1"/>
  <c r="P44" i="6"/>
  <c r="M24" i="6"/>
  <c r="M25" i="6"/>
  <c r="N43" i="6"/>
  <c r="I5" i="7"/>
  <c r="J5" i="7"/>
  <c r="R23" i="6"/>
  <c r="O24" i="6"/>
  <c r="AC23" i="6"/>
  <c r="H24" i="6" s="1"/>
  <c r="J24" i="6" s="1"/>
  <c r="L24" i="6"/>
  <c r="L25" i="6" s="1"/>
  <c r="N24" i="6"/>
  <c r="N25" i="6" s="1"/>
  <c r="X23" i="6"/>
  <c r="H25" i="6"/>
  <c r="Q22" i="6"/>
  <c r="S22" i="6" s="1"/>
  <c r="P41" i="6"/>
  <c r="Q41" i="6" s="1"/>
  <c r="P40" i="6"/>
  <c r="Q40" i="6" s="1"/>
  <c r="Q23" i="6" s="1"/>
  <c r="I6" i="7"/>
  <c r="N6" i="7" s="1"/>
  <c r="U25" i="6"/>
  <c r="AA25" i="6"/>
  <c r="K25" i="6"/>
  <c r="C25" i="6"/>
  <c r="Z25" i="6"/>
  <c r="AB25" i="6"/>
  <c r="P26" i="6" s="1"/>
  <c r="Y25" i="6"/>
  <c r="V25" i="6"/>
  <c r="I25" i="6"/>
  <c r="A26" i="6"/>
  <c r="O46" i="6" s="1"/>
  <c r="G25" i="6"/>
  <c r="O47" i="6"/>
  <c r="O44" i="6"/>
  <c r="Q44" i="6" l="1"/>
  <c r="J25" i="6"/>
  <c r="N5" i="7"/>
  <c r="P42" i="6"/>
  <c r="Q42" i="6" s="1"/>
  <c r="P43" i="6"/>
  <c r="Q43" i="6" s="1"/>
  <c r="X24" i="6"/>
  <c r="O26" i="6"/>
  <c r="P47" i="6" s="1"/>
  <c r="AC25" i="6"/>
  <c r="H26" i="6" s="1"/>
  <c r="R25" i="6"/>
  <c r="N26" i="6"/>
  <c r="N45" i="6"/>
  <c r="Q45" i="6" s="1"/>
  <c r="Q25" i="6" s="1"/>
  <c r="M26" i="6"/>
  <c r="G26" i="6"/>
  <c r="U26" i="6"/>
  <c r="AB26" i="6"/>
  <c r="P27" i="6" s="1"/>
  <c r="AA26" i="6"/>
  <c r="K26" i="6"/>
  <c r="Y26" i="6"/>
  <c r="I26" i="6"/>
  <c r="V26" i="6"/>
  <c r="A27" i="6"/>
  <c r="Z26" i="6"/>
  <c r="C26" i="6"/>
  <c r="P46" i="6"/>
  <c r="Q46" i="6" s="1"/>
  <c r="N47" i="6"/>
  <c r="W25" i="6"/>
  <c r="AE22" i="6"/>
  <c r="T22" i="6"/>
  <c r="AD22" i="6"/>
  <c r="S23" i="6"/>
  <c r="L26" i="6"/>
  <c r="Y27" i="6" l="1"/>
  <c r="I27" i="6"/>
  <c r="G27" i="6"/>
  <c r="V27" i="6"/>
  <c r="U27" i="6"/>
  <c r="A28" i="6"/>
  <c r="AB27" i="6"/>
  <c r="P28" i="6" s="1"/>
  <c r="AA27" i="6"/>
  <c r="Z27" i="6"/>
  <c r="C27" i="6"/>
  <c r="K27" i="6"/>
  <c r="N49" i="6"/>
  <c r="O50" i="6"/>
  <c r="O48" i="6"/>
  <c r="O27" i="6"/>
  <c r="P50" i="6" s="1"/>
  <c r="AC26" i="6"/>
  <c r="H27" i="6" s="1"/>
  <c r="R26" i="6"/>
  <c r="O49" i="6"/>
  <c r="M27" i="6"/>
  <c r="J26" i="6"/>
  <c r="X25" i="6"/>
  <c r="N27" i="6"/>
  <c r="L27" i="6"/>
  <c r="Q24" i="6"/>
  <c r="S24" i="6" s="1"/>
  <c r="T23" i="6"/>
  <c r="AE23" i="6"/>
  <c r="AD23" i="6"/>
  <c r="W26" i="6"/>
  <c r="Q47" i="6"/>
  <c r="Q26" i="6" s="1"/>
  <c r="P48" i="6" l="1"/>
  <c r="Q48" i="6" s="1"/>
  <c r="W27" i="6"/>
  <c r="O28" i="6"/>
  <c r="AC27" i="6"/>
  <c r="H28" i="6" s="1"/>
  <c r="R27" i="6"/>
  <c r="S25" i="6"/>
  <c r="T24" i="6"/>
  <c r="AE24" i="6"/>
  <c r="AD24" i="6"/>
  <c r="L28" i="6"/>
  <c r="J27" i="6"/>
  <c r="N28" i="6"/>
  <c r="M28" i="6"/>
  <c r="M29" i="6" s="1"/>
  <c r="X26" i="6"/>
  <c r="P49" i="6"/>
  <c r="Q49" i="6" s="1"/>
  <c r="Q27" i="6" s="1"/>
  <c r="AA28" i="6"/>
  <c r="K28" i="6"/>
  <c r="H29" i="6" s="1"/>
  <c r="C28" i="6"/>
  <c r="Y28" i="6"/>
  <c r="Q28" i="6"/>
  <c r="I28" i="6"/>
  <c r="A29" i="6"/>
  <c r="U28" i="6"/>
  <c r="V28" i="6"/>
  <c r="AB28" i="6"/>
  <c r="P29" i="6" s="1"/>
  <c r="Z28" i="6"/>
  <c r="N50" i="6"/>
  <c r="Q50" i="6" s="1"/>
  <c r="N29" i="6" l="1"/>
  <c r="N30" i="6" s="1"/>
  <c r="W28" i="6"/>
  <c r="L29" i="6"/>
  <c r="S26" i="6"/>
  <c r="T25" i="6"/>
  <c r="AE25" i="6"/>
  <c r="AD25" i="6"/>
  <c r="U29" i="6"/>
  <c r="AA29" i="6"/>
  <c r="K29" i="6"/>
  <c r="H30" i="6" s="1"/>
  <c r="C29" i="6"/>
  <c r="Q29" i="6"/>
  <c r="I29" i="6"/>
  <c r="J29" i="6" s="1"/>
  <c r="Z29" i="6"/>
  <c r="M30" i="6" s="1"/>
  <c r="Y29" i="6"/>
  <c r="L30" i="6" s="1"/>
  <c r="A30" i="6"/>
  <c r="AB29" i="6"/>
  <c r="P30" i="6" s="1"/>
  <c r="V29" i="6"/>
  <c r="J28" i="6"/>
  <c r="X27" i="6"/>
  <c r="AE28" i="6" l="1"/>
  <c r="X28" i="6"/>
  <c r="AD28" i="6"/>
  <c r="L31" i="6"/>
  <c r="U30" i="6"/>
  <c r="K30" i="6"/>
  <c r="H31" i="6" s="1"/>
  <c r="AB30" i="6"/>
  <c r="P31" i="6" s="1"/>
  <c r="AA30" i="6"/>
  <c r="N31" i="6" s="1"/>
  <c r="C30" i="6"/>
  <c r="Y30" i="6"/>
  <c r="I30" i="6"/>
  <c r="J30" i="6" s="1"/>
  <c r="Z30" i="6"/>
  <c r="M31" i="6" s="1"/>
  <c r="A31" i="6"/>
  <c r="V30" i="6"/>
  <c r="Q30" i="6"/>
  <c r="W29" i="6"/>
  <c r="T26" i="6"/>
  <c r="S27" i="6"/>
  <c r="AE26" i="6"/>
  <c r="AD26" i="6"/>
  <c r="W30" i="6" l="1"/>
  <c r="Y31" i="6"/>
  <c r="L32" i="6" s="1"/>
  <c r="Q31" i="6"/>
  <c r="I31" i="6"/>
  <c r="J31" i="6" s="1"/>
  <c r="U31" i="6"/>
  <c r="V31" i="6"/>
  <c r="A32" i="6"/>
  <c r="AA31" i="6"/>
  <c r="N32" i="6" s="1"/>
  <c r="Z31" i="6"/>
  <c r="M32" i="6" s="1"/>
  <c r="C31" i="6"/>
  <c r="K31" i="6"/>
  <c r="H32" i="6" s="1"/>
  <c r="AB31" i="6"/>
  <c r="P32" i="6" s="1"/>
  <c r="S28" i="6"/>
  <c r="T27" i="6"/>
  <c r="AD27" i="6"/>
  <c r="AE27" i="6"/>
  <c r="AE29" i="6"/>
  <c r="X29" i="6"/>
  <c r="AD29" i="6"/>
  <c r="AE30" i="6" l="1"/>
  <c r="X30" i="6"/>
  <c r="AD30" i="6"/>
  <c r="S29" i="6"/>
  <c r="T28" i="6"/>
  <c r="W31" i="6"/>
  <c r="AA32" i="6"/>
  <c r="N33" i="6" s="1"/>
  <c r="K32" i="6"/>
  <c r="H33" i="6" s="1"/>
  <c r="C32" i="6"/>
  <c r="Y32" i="6"/>
  <c r="L33" i="6" s="1"/>
  <c r="Q32" i="6"/>
  <c r="I32" i="6"/>
  <c r="J32" i="6" s="1"/>
  <c r="A33" i="6"/>
  <c r="O72" i="6" s="1"/>
  <c r="V32" i="6"/>
  <c r="U32" i="6"/>
  <c r="AB32" i="6"/>
  <c r="P33" i="6" s="1"/>
  <c r="Z32" i="6"/>
  <c r="M33" i="6" s="1"/>
  <c r="W32" i="6" l="1"/>
  <c r="S30" i="6"/>
  <c r="T29" i="6"/>
  <c r="AE31" i="6"/>
  <c r="X31" i="6"/>
  <c r="AD31" i="6"/>
  <c r="U33" i="6"/>
  <c r="AA33" i="6"/>
  <c r="K33" i="6"/>
  <c r="C33" i="6"/>
  <c r="Z33" i="6"/>
  <c r="Y33" i="6"/>
  <c r="I33" i="6"/>
  <c r="J33" i="6" s="1"/>
  <c r="Q33" i="6"/>
  <c r="V33" i="6"/>
  <c r="AB33" i="6"/>
  <c r="P70" i="6"/>
  <c r="P64" i="6"/>
  <c r="P55" i="6"/>
  <c r="P54" i="6"/>
  <c r="P65" i="6"/>
  <c r="Q65" i="6" s="1"/>
  <c r="P62" i="6"/>
  <c r="Q62" i="6" s="1"/>
  <c r="P58" i="6"/>
  <c r="Q58" i="6" s="1"/>
  <c r="O71" i="6"/>
  <c r="P66" i="6"/>
  <c r="P74" i="6"/>
  <c r="O67" i="6"/>
  <c r="P72" i="6"/>
  <c r="Q72" i="6" s="1"/>
  <c r="P71" i="6"/>
  <c r="P53" i="6"/>
  <c r="Q53" i="6" s="1"/>
  <c r="O68" i="6"/>
  <c r="P57" i="6"/>
  <c r="Q57" i="6" s="1"/>
  <c r="O66" i="6"/>
  <c r="P56" i="6"/>
  <c r="O62" i="6"/>
  <c r="O63" i="6"/>
  <c r="O54" i="6"/>
  <c r="P59" i="6"/>
  <c r="Q59" i="6" s="1"/>
  <c r="O75" i="6"/>
  <c r="O69" i="6"/>
  <c r="O52" i="6"/>
  <c r="P75" i="6"/>
  <c r="P51" i="6"/>
  <c r="O65" i="6"/>
  <c r="O70" i="6"/>
  <c r="O73" i="6"/>
  <c r="P73" i="6"/>
  <c r="Q73" i="6" s="1"/>
  <c r="O76" i="6"/>
  <c r="P60" i="6"/>
  <c r="P63" i="6"/>
  <c r="P52" i="6"/>
  <c r="Q52" i="6" s="1"/>
  <c r="O51" i="6"/>
  <c r="P61" i="6"/>
  <c r="Q61" i="6" s="1"/>
  <c r="P76" i="6"/>
  <c r="P68" i="6"/>
  <c r="Q68" i="6" s="1"/>
  <c r="O60" i="6"/>
  <c r="O64" i="6"/>
  <c r="O59" i="6"/>
  <c r="O58" i="6"/>
  <c r="O61" i="6"/>
  <c r="P69" i="6"/>
  <c r="O55" i="6"/>
  <c r="O74" i="6"/>
  <c r="P67" i="6"/>
  <c r="Q67" i="6" s="1"/>
  <c r="O56" i="6"/>
  <c r="O53" i="6"/>
  <c r="O57" i="6"/>
  <c r="Q56" i="6" l="1"/>
  <c r="Q64" i="6"/>
  <c r="Q76" i="6"/>
  <c r="Q69" i="6"/>
  <c r="Q71" i="6"/>
  <c r="Q54" i="6"/>
  <c r="X32" i="6"/>
  <c r="AE32" i="6"/>
  <c r="AD32" i="6"/>
  <c r="Q51" i="6"/>
  <c r="Q55" i="6"/>
  <c r="Q63" i="6"/>
  <c r="Q75" i="6"/>
  <c r="Q74" i="6"/>
  <c r="Q60" i="6"/>
  <c r="Q66" i="6"/>
  <c r="Q70" i="6"/>
  <c r="W33" i="6"/>
  <c r="T30" i="6"/>
  <c r="S31" i="6"/>
  <c r="AE33" i="6" l="1"/>
  <c r="B15" i="6" s="1"/>
  <c r="X33" i="6"/>
  <c r="B19" i="6" s="1"/>
  <c r="AD33" i="6"/>
  <c r="S32" i="6"/>
  <c r="T31" i="6"/>
  <c r="S33" i="6" l="1"/>
  <c r="T33" i="6" s="1"/>
  <c r="T32" i="6"/>
  <c r="B18" i="6"/>
  <c r="B17" i="6"/>
  <c r="B16" i="6"/>
</calcChain>
</file>

<file path=xl/sharedStrings.xml><?xml version="1.0" encoding="utf-8"?>
<sst xmlns="http://schemas.openxmlformats.org/spreadsheetml/2006/main" count="461" uniqueCount="332">
  <si>
    <t>AUTO SALES EXECUTIVE - M0 Balance Model &amp; Paper Prototype</t>
  </si>
  <si>
    <t>WHAT THIS IS</t>
  </si>
  <si>
    <t>M0 from DESIGN.md section 12. Its only job is to answer one question before a single line of Godot code gets written:</t>
  </si>
  <si>
    <t xml:space="preserve">        Is the negotiation loop actually fun?</t>
  </si>
  <si>
    <t>Done means: you would play a second round. If the answer is no, the correct outcome is to change DESIGN.md - not to build M1 anyway.</t>
  </si>
  <si>
    <t>THE CUSTOMER FIGHTS BACK</t>
  </si>
  <si>
    <t>Every turn the customer raises an OBJECTION, and you can see it coming before you commit. Each objection damages patience; some also carry a RIDER - an extra nasty effect.</t>
  </si>
  <si>
    <t>Rapport is a SHIELD, not a heal. It absorbs this turn's objection damage and any unused shield EXPIRES at end of turn. Patience only ever goes down.</t>
  </si>
  <si>
    <t>Any Rapport card reduces the damage. But a rider can only be stopped by the SPECIFIC counter card that answers that objection - generic shield never stops a rider.</t>
  </si>
  <si>
    <t>That is the whole tension: energy spent defending is energy not spent building the deal.</t>
  </si>
  <si>
    <t>THE FOUR QUESTIONS M0 MUST ANSWER</t>
  </si>
  <si>
    <t>1.  Is there a non-obvious decision every turn, or does one line dominate?</t>
  </si>
  <si>
    <t>2.  Does reading the telegraphed objection and deciding shield-vs-build feel tense, or feel like tax?</t>
  </si>
  <si>
    <t>3.  Is 'take the 60% Sale' vs 'push on for more' a genuine push-your-luck moment?</t>
  </si>
  <si>
    <t>4.  Are the numbers feasible - can you close at all while defending?</t>
  </si>
  <si>
    <t>HOW TO PLAY IT</t>
  </si>
  <si>
    <t>1.  Go to the 'Encounter Sim' tab.</t>
  </si>
  <si>
    <t>2.  Pick your customer in the blue cell B3. Their objection pool shows in B12.</t>
  </si>
  <si>
    <t>3.  In the TURN STATE table, type an objection ID into the blue Objection column for each turn (pick from that customer's pool - roll a die if you want it honest).</t>
  </si>
  <si>
    <t>4.  Fill in the PLAY LOG below: one row per card played. Enter Turn, Card ID, and - only for cards whose Lane is 'any' - a Target Lane.</t>
  </si>
  <si>
    <t>5.  Watch patience, shield, damage taken and whether each rider landed. A worked example (Family First, eight turns) is pre-filled. Overwrite or delete it.</t>
  </si>
  <si>
    <t>THE RULES BEING MODELLED</t>
  </si>
  <si>
    <t>Energy:       3 per turn. Unspent energy is lost unless you play 'Bide Your Time'.</t>
  </si>
  <si>
    <t>Patience:     Starts per-archetype, only ever falls. Objection damage + card patience costs + a small passive decay. At 0 the customer walks.</t>
  </si>
  <si>
    <t>Shield:       Rapport cards grant it, it absorbs this turn's objection damage, and it expires unused at end of turn. Play it in anticipation.</t>
  </si>
  <si>
    <t>Riders:       raise_resistance, lock_lane, drain_energy, shave_value. Only the matching counter card stops one. Countered? shows YES/NO each turn.</t>
  </si>
  <si>
    <t>Escalation:   Objection damage grows the longer the encounter runs. This is the reason to close rather than keep milking.</t>
  </si>
  <si>
    <t>Resistance:   A percentage per lane. A card of face value V into a lane adds V x (1 - Resistance).</t>
  </si>
  <si>
    <t>Probing:      Lowers a lane's resistance, but applies at END of turn - it pays off NEXT turn.</t>
  </si>
  <si>
    <t>Close tiers:  60% of Budget = Sale (1.0x), 80% = Strong Close (1.25x), 100% = Max Close (1.5x + reward pick). Graded, not a single cliff.</t>
  </si>
  <si>
    <t>CLOSING:      You may close DURING your turn, before that turn's objection lands. So a tier you reach is bankable immediately - but if you push on for a better tier and they walk at end of turn, you get NOTHING. That is the push-your-luck decision.</t>
  </si>
  <si>
    <t>Card values:  Stored as a SHARE OF BUDGET, not dollars. M0 proved absolute values make budget secretly the difficulty dial.</t>
  </si>
  <si>
    <t>WHAT THIS SHEET DOES NOT MODEL</t>
  </si>
  <si>
    <t>Deck, hand and draw are deliberately NOT modelled here - this sheet is an economy sandbox where you may play any card freely. The full deck/hand/draw loop is in sim.py, which reads its numbers out of this same workbook. Tune here, then re-run the simulator.</t>
  </si>
  <si>
    <t>COLOUR LEGEND</t>
  </si>
  <si>
    <t>Blue text     = you edit this. Inputs and tuning levers.</t>
  </si>
  <si>
    <t>Black text    = formula. Do not overwrite - it will break the model.</t>
  </si>
  <si>
    <t>Dark red headers mark the CUSTOMER's side of the turn - the things being done TO you.</t>
  </si>
  <si>
    <t>THE VERDICT - fill this in after playing</t>
  </si>
  <si>
    <t>Would you play a second round?</t>
  </si>
  <si>
    <t>Did answering objections feel tense, or feel like a tax?</t>
  </si>
  <si>
    <t>Which single number would you change first?</t>
  </si>
  <si>
    <t>ASSUMPTIONS - every global tuning lever lives here</t>
  </si>
  <si>
    <t>Blue cells are inputs. Nothing else in this workbook hardcodes these numbers.</t>
  </si>
  <si>
    <t>Lever</t>
  </si>
  <si>
    <t>Value</t>
  </si>
  <si>
    <t>Notes</t>
  </si>
  <si>
    <t>Starting Energy per Turn</t>
  </si>
  <si>
    <t>Refills each turn. The resource objections compete for.</t>
  </si>
  <si>
    <t>Turns Modelled</t>
  </si>
  <si>
    <t>Length of the Turn State table on Encounter Sim.</t>
  </si>
  <si>
    <t>Default Starting Patience</t>
  </si>
  <si>
    <t>Reference only - each archetype sets its own.</t>
  </si>
  <si>
    <t>Passive Patience Decay / Turn</t>
  </si>
  <si>
    <t>Small floor of urgency. Objections do most of the damage now.</t>
  </si>
  <si>
    <t>Sale Threshold (% of Budget)</t>
  </si>
  <si>
    <t>Deal Value at or above this allows a Sale.</t>
  </si>
  <si>
    <t>Strong Close Threshold (% of Budget)</t>
  </si>
  <si>
    <t>Middle tier - the reason to push past a plain Sale.</t>
  </si>
  <si>
    <t>Max Close Threshold (% of Budget)</t>
  </si>
  <si>
    <t>Draining 100% of Budget. Jackpot + reward pick.</t>
  </si>
  <si>
    <t>Commission Rate</t>
  </si>
  <si>
    <t>Commission = Deal Value x this rate x the tier multiplier.</t>
  </si>
  <si>
    <t>Sale Multiplier</t>
  </si>
  <si>
    <t>Tier multiplier at 60%.</t>
  </si>
  <si>
    <t>Strong Close Multiplier</t>
  </si>
  <si>
    <t>Tier multiplier at 80%.</t>
  </si>
  <si>
    <t>Max Close Multiplier</t>
  </si>
  <si>
    <t>Tier multiplier at 100%.</t>
  </si>
  <si>
    <t>Card Value Scale</t>
  </si>
  <si>
    <t>Global multiplier on every card's deal value. THE main tuning dial.</t>
  </si>
  <si>
    <t>Objection Escalation / Turn</t>
  </si>
  <si>
    <t>Objection damage grows by this much per turn elapsed.</t>
  </si>
  <si>
    <t>Hand Size</t>
  </si>
  <si>
    <t>Used by sim.py only - the sheet lets you play any card freely.</t>
  </si>
  <si>
    <t>Cards Drawn per Turn</t>
  </si>
  <si>
    <t>Used by sim.py only.</t>
  </si>
  <si>
    <t>Source: first-pass designer estimates from DESIGN.md section 6, retuned after the objection system landed. All provisional - M0 exists to find out which are wrong.</t>
  </si>
  <si>
    <t>OBJECTIONS - what the customer does to you</t>
  </si>
  <si>
    <t>Every objection damages patience. Some carry a rider, which ONLY the matching counter card can stop.</t>
  </si>
  <si>
    <t>ID</t>
  </si>
  <si>
    <t>Name</t>
  </si>
  <si>
    <t>Base Damage</t>
  </si>
  <si>
    <t>Rider Type</t>
  </si>
  <si>
    <t>Rider Lane</t>
  </si>
  <si>
    <t>Rider Amount</t>
  </si>
  <si>
    <t>Countered By</t>
  </si>
  <si>
    <t>Flavour</t>
  </si>
  <si>
    <t>price_objection</t>
  </si>
  <si>
    <t>It's Out Of My Budget</t>
  </si>
  <si>
    <t>-</t>
  </si>
  <si>
    <t>The number has not changed in twenty minutes. They will say it again.</t>
  </si>
  <si>
    <t>competitor_quote</t>
  </si>
  <si>
    <t>The Dealer Down The Road</t>
  </si>
  <si>
    <t>raise_resistance</t>
  </si>
  <si>
    <t>vehicle</t>
  </si>
  <si>
    <t>Beat The Quote</t>
  </si>
  <si>
    <t>They have a screenshot. It is from a different model year. It does not matter.</t>
  </si>
  <si>
    <t>dont_need_extras</t>
  </si>
  <si>
    <t>I Don't Need All These Extras</t>
  </si>
  <si>
    <t>lock_lane</t>
  </si>
  <si>
    <t>protection</t>
  </si>
  <si>
    <t>Justify The Value</t>
  </si>
  <si>
    <t>Somebody's brother-in-law told them warranties are a scam. Their brother-in-law is right.</t>
  </si>
  <si>
    <t>talk_to_spouse</t>
  </si>
  <si>
    <t>Let Me Talk To My Spouse</t>
  </si>
  <si>
    <t>drain_energy</t>
  </si>
  <si>
    <t>Create Urgency</t>
  </si>
  <si>
    <t>They are going to step outside and call nobody.</t>
  </si>
  <si>
    <t>preapproved</t>
  </si>
  <si>
    <t>I'm Pre-Approved At My Credit Union</t>
  </si>
  <si>
    <t>shave_value</t>
  </si>
  <si>
    <t>financing</t>
  </si>
  <si>
    <t>Reframe The Rate</t>
  </si>
  <si>
    <t>Financing was where the money was. They have found this out.</t>
  </si>
  <si>
    <t>raise_resistance - adds Rider Amount to that lane's resistance. Undoes your probing.</t>
  </si>
  <si>
    <t>lock_lane        - that lane accepts no value for one turn.</t>
  </si>
  <si>
    <t>drain_energy     - you lose Rider Amount energy next turn.</t>
  </si>
  <si>
    <t>shave_value      - removes Rider Amount (as a fraction) of the deal value you have built.</t>
  </si>
  <si>
    <t>Damage shown here is the BASE. Actual damage grows each turn by the escalation rate.</t>
  </si>
  <si>
    <t>CARD POOL - 22 cards. The 10 flagged STARTER make the M0 starting deck.</t>
  </si>
  <si>
    <t>Deal Value is a SHARE OF THE CUSTOMER'S BUDGET, not dollars. Columns export cleanly to JSON for the Godot /data folder later.</t>
  </si>
  <si>
    <t>Lane</t>
  </si>
  <si>
    <t>Energy</t>
  </si>
  <si>
    <t>Patience Cost</t>
  </si>
  <si>
    <t>Effect Type</t>
  </si>
  <si>
    <t>Deal Value (% budget)</t>
  </si>
  <si>
    <t>Res. Reduction</t>
  </si>
  <si>
    <t>Shield</t>
  </si>
  <si>
    <t>Counters</t>
  </si>
  <si>
    <t>Draw</t>
  </si>
  <si>
    <t>Buff Next</t>
  </si>
  <si>
    <t>Upgrade Value</t>
  </si>
  <si>
    <t>Rarity</t>
  </si>
  <si>
    <t>Starter</t>
  </si>
  <si>
    <t>Value @ $30k</t>
  </si>
  <si>
    <t>base_trim_pitch</t>
  </si>
  <si>
    <t>Base Trim Pitch</t>
  </si>
  <si>
    <t>add_deal_value</t>
  </si>
  <si>
    <t>starter</t>
  </si>
  <si>
    <t>YES</t>
  </si>
  <si>
    <t>It's the same car, just with fewer things that work.</t>
  </si>
  <si>
    <t>upsell_package</t>
  </si>
  <si>
    <t>Upsell Package</t>
  </si>
  <si>
    <t>common</t>
  </si>
  <si>
    <t>The Platinum Ultra trim adds heated cupholders and five grand.</t>
  </si>
  <si>
    <t>highlight_features</t>
  </si>
  <si>
    <t>Highlight Features</t>
  </si>
  <si>
    <t>reduce_resistance</t>
  </si>
  <si>
    <t>Watch me open the trunk with my foot. Now you need it.</t>
  </si>
  <si>
    <t>extended_warranty</t>
  </si>
  <si>
    <t>Extended Warranty</t>
  </si>
  <si>
    <t>Statistically you will never use this. Emotionally, you need it.</t>
  </si>
  <si>
    <t>gap_insurance</t>
  </si>
  <si>
    <t>Gap Insurance</t>
  </si>
  <si>
    <t>In case the car dies before the loan does.</t>
  </si>
  <si>
    <t>paint_protection</t>
  </si>
  <si>
    <t>Paint Protection</t>
  </si>
  <si>
    <t>It's wax. It is forty dollars of wax.</t>
  </si>
  <si>
    <t>rate_markup</t>
  </si>
  <si>
    <t>Rate Markup</t>
  </si>
  <si>
    <t>The bank said 4.9. I'm going to say 7.9 and see what happens.</t>
  </si>
  <si>
    <t>term_extension</t>
  </si>
  <si>
    <t>Term Extension</t>
  </si>
  <si>
    <t>Ninety-six months is basically a mortgage with cupholders.</t>
  </si>
  <si>
    <t>doc_fee</t>
  </si>
  <si>
    <t>Doc Fee</t>
  </si>
  <si>
    <t>A fee for processing the paperwork that creates the fee.</t>
  </si>
  <si>
    <t>build_rapport</t>
  </si>
  <si>
    <t>Build Rapport</t>
  </si>
  <si>
    <t>none</t>
  </si>
  <si>
    <t>gain_shield</t>
  </si>
  <si>
    <t>Your kid plays travel soccer? MY kid plays travel soccer.</t>
  </si>
  <si>
    <t>small_talk</t>
  </si>
  <si>
    <t>Small Talk</t>
  </si>
  <si>
    <t>This weather, right? Anyway. About the financing.</t>
  </si>
  <si>
    <t>empathize</t>
  </si>
  <si>
    <t>Empathize</t>
  </si>
  <si>
    <t>I hear you. I'm on your side. I am paid on commission.</t>
  </si>
  <si>
    <t>appraise</t>
  </si>
  <si>
    <t>Appraise</t>
  </si>
  <si>
    <t>reveal_hidden</t>
  </si>
  <si>
    <t>Let me check with my manager. (I am going to get a coffee.)</t>
  </si>
  <si>
    <t>probe_needs</t>
  </si>
  <si>
    <t>Probe Needs</t>
  </si>
  <si>
    <t>any</t>
  </si>
  <si>
    <t>So what's your commute like? Asking for entirely selfless reasons.</t>
  </si>
  <si>
    <t>bide_your_time</t>
  </si>
  <si>
    <t>Bide Your Time</t>
  </si>
  <si>
    <t>carry_energy</t>
  </si>
  <si>
    <t>Silence. Let them fill it. They always fill it.</t>
  </si>
  <si>
    <t>test_drive</t>
  </si>
  <si>
    <t>Test Drive</t>
  </si>
  <si>
    <t>draw_cards</t>
  </si>
  <si>
    <t>Once they smell the interior, the deal is already closed.</t>
  </si>
  <si>
    <t>anchor_high</t>
  </si>
  <si>
    <t>Anchor High</t>
  </si>
  <si>
    <t>buff_next</t>
  </si>
  <si>
    <t>uncommon</t>
  </si>
  <si>
    <t>Let's start with the fully loaded model. No reason. Just vibes.</t>
  </si>
  <si>
    <t>close_hard</t>
  </si>
  <si>
    <t>Close Hard</t>
  </si>
  <si>
    <t>I can only hold this price until you leave the building.</t>
  </si>
  <si>
    <t>beat_the_quote</t>
  </si>
  <si>
    <t>counter_objection</t>
  </si>
  <si>
    <t>Bring me the written offer. They will never bring the written offer.</t>
  </si>
  <si>
    <t>justify_the_value</t>
  </si>
  <si>
    <t>You don't need it. You deserve it. Different word, same invoice.</t>
  </si>
  <si>
    <t>create_urgency</t>
  </si>
  <si>
    <t>Another couple looked at this exact one this morning. Allegedly.</t>
  </si>
  <si>
    <t>reframe_the_rate</t>
  </si>
  <si>
    <t>Forget the rate. Look at the monthly. Only look at the monthly.</t>
  </si>
  <si>
    <t>'Value @ $30k' is what the card is worth against a $30,000 customer at the current Card Value Scale - for intuition only. The model always uses the percentage.</t>
  </si>
  <si>
    <t>CUSTOMER ARCHETYPES - Family First is the M0 default (most representative)</t>
  </si>
  <si>
    <t>Difficulty must come from resistance, patience and objection pool - NOT from budget size. See m0/README.md.</t>
  </si>
  <si>
    <t>Budget</t>
  </si>
  <si>
    <t>Starting Patience</t>
  </si>
  <si>
    <t>Res. Vehicle</t>
  </si>
  <si>
    <t>Res. Protection</t>
  </si>
  <si>
    <t>Res. Financing</t>
  </si>
  <si>
    <t>Sale ($)</t>
  </si>
  <si>
    <t>Strong ($)</t>
  </si>
  <si>
    <t>Max Close ($)</t>
  </si>
  <si>
    <t>Objection 1</t>
  </si>
  <si>
    <t>Objection 2</t>
  </si>
  <si>
    <t>Objection 3</t>
  </si>
  <si>
    <t>Trait</t>
  </si>
  <si>
    <t>Description</t>
  </si>
  <si>
    <t>budget_buyer</t>
  </si>
  <si>
    <t>Budget Buyer</t>
  </si>
  <si>
    <t>Commuter</t>
  </si>
  <si>
    <t>Has a number. Has had that number since 2019. Will say the number forty times.</t>
  </si>
  <si>
    <t>family_first</t>
  </si>
  <si>
    <t>Family First</t>
  </si>
  <si>
    <t>Young Child</t>
  </si>
  <si>
    <t>Will buy anything with the word 'safety' printed on it. Cannot be rushed.</t>
  </si>
  <si>
    <t>tech_enthusiast</t>
  </si>
  <si>
    <t>Tech Enthusiast</t>
  </si>
  <si>
    <t>Lease Prefers</t>
  </si>
  <si>
    <t>Wants the screen. Already configured it online. Will leave if bored.</t>
  </si>
  <si>
    <t>Resistance is the share of a card's face value the customer refuses in that lane. The three Objection columns are the pool they draw from each turn.</t>
  </si>
  <si>
    <t>ENCOUNTER SIM - play a negotiation by hand, against a customer that fights back</t>
  </si>
  <si>
    <t>Edit blue cells only: the customer in B3, the Objection column in the turn table, and Turn / Card ID / Target Lane in the play log.</t>
  </si>
  <si>
    <t>Customer</t>
  </si>
  <si>
    <t>&lt;- Budget Buyer, Family First, or Tech Enthusiast</t>
  </si>
  <si>
    <t>Sale (60%)</t>
  </si>
  <si>
    <t>Strong Close (80%)</t>
  </si>
  <si>
    <t>Max Close (100%)</t>
  </si>
  <si>
    <t>Resistance - Vehicle</t>
  </si>
  <si>
    <t>Resistance - Protection</t>
  </si>
  <si>
    <t>Resistance - Financing</t>
  </si>
  <si>
    <t>Objection Pool</t>
  </si>
  <si>
    <t>OUTCOME  (best tier you could have closed at)</t>
  </si>
  <si>
    <t>Final Deal Value</t>
  </si>
  <si>
    <t>% of Budget</t>
  </si>
  <si>
    <t>Result</t>
  </si>
  <si>
    <t>Commission</t>
  </si>
  <si>
    <t>Walked?</t>
  </si>
  <si>
    <t>Turn</t>
  </si>
  <si>
    <t>Objection</t>
  </si>
  <si>
    <t>Damage</t>
  </si>
  <si>
    <t>Rider Amt</t>
  </si>
  <si>
    <t>Countered?</t>
  </si>
  <si>
    <t>Energy Avail</t>
  </si>
  <si>
    <t>Energy Spent</t>
  </si>
  <si>
    <t>Energy OK?</t>
  </si>
  <si>
    <t>Carry Next</t>
  </si>
  <si>
    <t>Res Veh</t>
  </si>
  <si>
    <t>Res Pro</t>
  </si>
  <si>
    <t>Res Fin</t>
  </si>
  <si>
    <t>Locked Lane</t>
  </si>
  <si>
    <t>Value Mult</t>
  </si>
  <si>
    <t>Value Added</t>
  </si>
  <si>
    <t>Value Shaved</t>
  </si>
  <si>
    <t>Cumulative</t>
  </si>
  <si>
    <t>% Budget</t>
  </si>
  <si>
    <t>Damage Taken</t>
  </si>
  <si>
    <t>Patience End</t>
  </si>
  <si>
    <t>ResRed Veh</t>
  </si>
  <si>
    <t>ResRed Pro</t>
  </si>
  <si>
    <t>ResRed Fin</t>
  </si>
  <si>
    <t>Buff Gen</t>
  </si>
  <si>
    <t>Energy Drain Next</t>
  </si>
  <si>
    <t>Status</t>
  </si>
  <si>
    <t>Closeable</t>
  </si>
  <si>
    <t>Probes and buffs apply at the END of a turn - they change the NEXT turn. Shield applies to THIS turn's objection and expires unused.</t>
  </si>
  <si>
    <t>Card ID</t>
  </si>
  <si>
    <t>Target Lane</t>
  </si>
  <si>
    <t>Lane Used</t>
  </si>
  <si>
    <t>Buff</t>
  </si>
  <si>
    <t>Value (% budget)</t>
  </si>
  <si>
    <t>Face Value ($)</t>
  </si>
  <si>
    <t>Resistance @ Play</t>
  </si>
  <si>
    <t>Lane Locked?</t>
  </si>
  <si>
    <t>Effective Value</t>
  </si>
  <si>
    <t>Worked example pre-filled for Family First (turns 1-6), with objections drawn from that archetype's pool. It is a near-optimal line - it reaches a Max Close with almost no patience to spare, which is the ceiling, not the average. Delete rows 37-50 and the Objection column to play your own.</t>
  </si>
  <si>
    <t>BALANCE CHECK - can you close at all while paying the objection tax?</t>
  </si>
  <si>
    <t>All formulas. Change Assumptions, Cards, Objections or Customers and this updates.</t>
  </si>
  <si>
    <t>Archetype</t>
  </si>
  <si>
    <t>Patience</t>
  </si>
  <si>
    <t>Avg Obj. Damage</t>
  </si>
  <si>
    <t>Turns Before Walk</t>
  </si>
  <si>
    <t>Total Energy</t>
  </si>
  <si>
    <t>Energy on Shield</t>
  </si>
  <si>
    <t>Energy for Value</t>
  </si>
  <si>
    <t>Req. Value/Energy (Sale)</t>
  </si>
  <si>
    <t>Req. Value/Energy (Max)</t>
  </si>
  <si>
    <t>Pool Avg Value/Energy</t>
  </si>
  <si>
    <t>Avg Resistance</t>
  </si>
  <si>
    <t>Pool Effective Value/Energy</t>
  </si>
  <si>
    <t>Verdict</t>
  </si>
  <si>
    <t>HOW TO READ THIS</t>
  </si>
  <si>
    <t>-  Turns Before Walk now accounts for objection damage as well as passive decay - it is much shorter than it was before the customer started fighting back.</t>
  </si>
  <si>
    <t>-  Energy on Shield is the rough cost of surviving: damage per turn divided by shield per rapport card.</t>
  </si>
  <si>
    <t>-  Energy for Value is what is actually LEFT to build the deal. That is the number the objection system is designed to squeeze.</t>
  </si>
  <si>
    <t>-  This ignores probing, counters and escalation, so it is a rough OPTIMISTIC ceiling. If it says TOO HARD, the real game is worse. Cross-check against sim.py, which models all of it.</t>
  </si>
  <si>
    <t>CARD POOL SUMMARY</t>
  </si>
  <si>
    <t>Cards in pool</t>
  </si>
  <si>
    <t>Flagged Starter</t>
  </si>
  <si>
    <t>Value cards</t>
  </si>
  <si>
    <t>Shield cards</t>
  </si>
  <si>
    <t>Counter cards</t>
  </si>
  <si>
    <t>Total shield available</t>
  </si>
  <si>
    <t>Objections defined</t>
  </si>
  <si>
    <t>Objections with riders</t>
  </si>
  <si>
    <t>PRINT &amp; PLAY - cut into strips and negotiate on paper</t>
  </si>
  <si>
    <t>Live formulas from the Cards and Objections tabs, so this never drifts out of sync.</t>
  </si>
  <si>
    <t>Card</t>
  </si>
  <si>
    <t>Cost</t>
  </si>
  <si>
    <t>Effect</t>
  </si>
  <si>
    <t>OBJECTION CARDS - the customer's deck</t>
  </si>
  <si>
    <t>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</si>
</sst>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&quot;-&quot;"/>
    <numFmt numFmtId="165" formatCode="0.0%"/>
    <numFmt numFmtId="166" formatCode="\$#,##0;\(\$#,##0\);&quot;-&quot;"/>
    <numFmt numFmtId="167" formatCode="#,##0.0;\(#,##0.0\);&quot;-&quot;"/>
  </numFmts>
  <fonts count="15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b/>
      <sz val="11"/>
      <color rgb="FF1F3864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FF"/>
      <name val="Arial"/>
    </font>
    <font>
      <sz val="10"/>
      <color rgb="FFC00000"/>
      <name val="Arial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color rgb="FF595959"/>
      <name val="Arial"/>
    </font>
    <font>
      <b/>
      <sz val="10"/>
      <color rgb="FF0000FF"/>
      <name val="Arial"/>
    </font>
    <font>
      <b/>
      <sz val="10"/>
      <color rgb="FFC00000"/>
      <name val="Arial"/>
    </font>
    <font>
      <b/>
      <sz val="11"/>
      <color rgb="FF000000"/>
      <name val="Arial"/>
    </font>
    <font>
      <b/>
      <sz val="11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7B2E2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4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0" fillId="0" borderId="0" xfId="0" applyFont="1"/>
    <xf numFmtId="164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0" xfId="0" applyFont="1"/>
    <xf numFmtId="0" fontId="6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/>
    <xf numFmtId="167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3" fillId="0" borderId="1" xfId="0" applyFont="1" applyBorder="1"/>
    <xf numFmtId="0" fontId="3" fillId="0" borderId="1" xfId="0" applyFont="1" applyBorder="1" applyAlignment="1">
      <alignment vertical="center" wrapText="1"/>
    </xf>
    <xf numFmtId="0" fontId="13" fillId="5" borderId="1" xfId="0" applyFont="1" applyFill="1" applyBorder="1"/>
    <xf numFmtId="0" fontId="3" fillId="5" borderId="1" xfId="0" applyFont="1" applyFill="1" applyBorder="1" applyAlignment="1">
      <alignment vertical="center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2"/>
  <sheetViews>
    <sheetView tabSelected="1" workbookViewId="0"/>
  </sheetViews>
  <sheetFormatPr defaultRowHeight="14.6" x14ac:dyDescent="0.4"/>
  <cols>
    <col min="1" max="1" width="3" customWidth="1"/>
    <col min="2" max="2" width="106" customWidth="1"/>
  </cols>
  <sheetData>
    <row r="2" spans="2:2" ht="20.149999999999999" x14ac:dyDescent="0.5">
      <c r="B2" s="1" t="s">
        <v>0</v>
      </c>
    </row>
    <row r="4" spans="2:2" ht="14.05" customHeight="1" x14ac:dyDescent="0.4"/>
    <row r="5" spans="2:2" ht="14.05" customHeight="1" x14ac:dyDescent="0.4">
      <c r="B5" s="2" t="s">
        <v>1</v>
      </c>
    </row>
    <row r="6" spans="2:2" ht="26.05" customHeight="1" x14ac:dyDescent="0.4">
      <c r="B6" s="3" t="s">
        <v>2</v>
      </c>
    </row>
    <row r="7" spans="2:2" ht="14.05" customHeight="1" x14ac:dyDescent="0.4">
      <c r="B7" s="4" t="s">
        <v>3</v>
      </c>
    </row>
    <row r="8" spans="2:2" ht="26.05" customHeight="1" x14ac:dyDescent="0.4">
      <c r="B8" s="3" t="s">
        <v>4</v>
      </c>
    </row>
    <row r="9" spans="2:2" ht="14.05" customHeight="1" x14ac:dyDescent="0.4"/>
    <row r="10" spans="2:2" ht="14.05" customHeight="1" x14ac:dyDescent="0.4">
      <c r="B10" s="2" t="s">
        <v>5</v>
      </c>
    </row>
    <row r="11" spans="2:2" ht="26.05" customHeight="1" x14ac:dyDescent="0.4">
      <c r="B11" s="3" t="s">
        <v>6</v>
      </c>
    </row>
    <row r="12" spans="2:2" ht="26.05" customHeight="1" x14ac:dyDescent="0.4">
      <c r="B12" s="3" t="s">
        <v>7</v>
      </c>
    </row>
    <row r="13" spans="2:2" ht="26.05" customHeight="1" x14ac:dyDescent="0.4">
      <c r="B13" s="3" t="s">
        <v>8</v>
      </c>
    </row>
    <row r="14" spans="2:2" ht="14.05" customHeight="1" x14ac:dyDescent="0.4">
      <c r="B14" s="4" t="s">
        <v>9</v>
      </c>
    </row>
    <row r="15" spans="2:2" ht="14.05" customHeight="1" x14ac:dyDescent="0.4"/>
    <row r="16" spans="2:2" ht="14.05" customHeight="1" x14ac:dyDescent="0.4">
      <c r="B16" s="2" t="s">
        <v>10</v>
      </c>
    </row>
    <row r="17" spans="2:2" ht="14.05" customHeight="1" x14ac:dyDescent="0.4">
      <c r="B17" s="3" t="s">
        <v>11</v>
      </c>
    </row>
    <row r="18" spans="2:2" ht="26.05" customHeight="1" x14ac:dyDescent="0.4">
      <c r="B18" s="3" t="s">
        <v>12</v>
      </c>
    </row>
    <row r="19" spans="2:2" ht="14.05" customHeight="1" x14ac:dyDescent="0.4">
      <c r="B19" s="3" t="s">
        <v>13</v>
      </c>
    </row>
    <row r="20" spans="2:2" ht="14.05" customHeight="1" x14ac:dyDescent="0.4">
      <c r="B20" s="3" t="s">
        <v>14</v>
      </c>
    </row>
    <row r="21" spans="2:2" ht="14.05" customHeight="1" x14ac:dyDescent="0.4"/>
    <row r="22" spans="2:2" ht="14.05" customHeight="1" x14ac:dyDescent="0.4">
      <c r="B22" s="2" t="s">
        <v>15</v>
      </c>
    </row>
    <row r="23" spans="2:2" ht="14.05" customHeight="1" x14ac:dyDescent="0.4">
      <c r="B23" s="3" t="s">
        <v>16</v>
      </c>
    </row>
    <row r="24" spans="2:2" ht="14.05" customHeight="1" x14ac:dyDescent="0.4">
      <c r="B24" s="3" t="s">
        <v>17</v>
      </c>
    </row>
    <row r="25" spans="2:2" ht="26.05" customHeight="1" x14ac:dyDescent="0.4">
      <c r="B25" s="3" t="s">
        <v>18</v>
      </c>
    </row>
    <row r="26" spans="2:2" ht="26.05" customHeight="1" x14ac:dyDescent="0.4">
      <c r="B26" s="3" t="s">
        <v>19</v>
      </c>
    </row>
    <row r="27" spans="2:2" ht="26.05" customHeight="1" x14ac:dyDescent="0.4">
      <c r="B27" s="3" t="s">
        <v>20</v>
      </c>
    </row>
    <row r="28" spans="2:2" ht="14.05" customHeight="1" x14ac:dyDescent="0.4"/>
    <row r="29" spans="2:2" ht="14.05" customHeight="1" x14ac:dyDescent="0.4">
      <c r="B29" s="2" t="s">
        <v>21</v>
      </c>
    </row>
    <row r="30" spans="2:2" ht="14.05" customHeight="1" x14ac:dyDescent="0.4">
      <c r="B30" s="3" t="s">
        <v>22</v>
      </c>
    </row>
    <row r="31" spans="2:2" ht="26.05" customHeight="1" x14ac:dyDescent="0.4">
      <c r="B31" s="3" t="s">
        <v>23</v>
      </c>
    </row>
    <row r="32" spans="2:2" ht="26.05" customHeight="1" x14ac:dyDescent="0.4">
      <c r="B32" s="3" t="s">
        <v>24</v>
      </c>
    </row>
    <row r="33" spans="2:2" ht="26.05" customHeight="1" x14ac:dyDescent="0.4">
      <c r="B33" s="3" t="s">
        <v>25</v>
      </c>
    </row>
    <row r="34" spans="2:2" ht="26.05" customHeight="1" x14ac:dyDescent="0.4">
      <c r="B34" s="3" t="s">
        <v>26</v>
      </c>
    </row>
    <row r="35" spans="2:2" ht="26.05" customHeight="1" x14ac:dyDescent="0.4">
      <c r="B35" s="3" t="s">
        <v>27</v>
      </c>
    </row>
    <row r="36" spans="2:2" ht="14.05" customHeight="1" x14ac:dyDescent="0.4">
      <c r="B36" s="3" t="s">
        <v>28</v>
      </c>
    </row>
    <row r="37" spans="2:2" ht="26.05" customHeight="1" x14ac:dyDescent="0.4">
      <c r="B37" s="3" t="s">
        <v>29</v>
      </c>
    </row>
    <row r="38" spans="2:2" ht="14.05" customHeight="1" x14ac:dyDescent="0.4">
      <c r="B38" s="4" t="s">
        <v>30</v>
      </c>
    </row>
    <row r="39" spans="2:2" ht="26.05" customHeight="1" x14ac:dyDescent="0.4">
      <c r="B39" s="3" t="s">
        <v>31</v>
      </c>
    </row>
    <row r="40" spans="2:2" ht="14.05" customHeight="1" x14ac:dyDescent="0.4"/>
    <row r="41" spans="2:2" ht="14.05" customHeight="1" x14ac:dyDescent="0.4">
      <c r="B41" s="2" t="s">
        <v>32</v>
      </c>
    </row>
    <row r="42" spans="2:2" ht="26.05" customHeight="1" x14ac:dyDescent="0.4">
      <c r="B42" s="3" t="s">
        <v>33</v>
      </c>
    </row>
    <row r="43" spans="2:2" ht="14.05" customHeight="1" x14ac:dyDescent="0.4"/>
    <row r="44" spans="2:2" ht="14.05" customHeight="1" x14ac:dyDescent="0.4">
      <c r="B44" s="2" t="s">
        <v>34</v>
      </c>
    </row>
    <row r="45" spans="2:2" ht="14.05" customHeight="1" x14ac:dyDescent="0.4">
      <c r="B45" s="5" t="s">
        <v>35</v>
      </c>
    </row>
    <row r="46" spans="2:2" ht="14.05" customHeight="1" x14ac:dyDescent="0.4">
      <c r="B46" s="3" t="s">
        <v>36</v>
      </c>
    </row>
    <row r="47" spans="2:2" ht="14.05" customHeight="1" x14ac:dyDescent="0.4">
      <c r="B47" s="6" t="s">
        <v>37</v>
      </c>
    </row>
    <row r="48" spans="2:2" ht="14.05" customHeight="1" x14ac:dyDescent="0.4"/>
    <row r="49" spans="2:2" ht="14.05" customHeight="1" x14ac:dyDescent="0.4">
      <c r="B49" s="2" t="s">
        <v>38</v>
      </c>
    </row>
    <row r="50" spans="2:2" ht="14.05" customHeight="1" x14ac:dyDescent="0.4">
      <c r="B50" s="3" t="s">
        <v>39</v>
      </c>
    </row>
    <row r="51" spans="2:2" ht="14.05" customHeight="1" x14ac:dyDescent="0.4">
      <c r="B51" s="3" t="s">
        <v>40</v>
      </c>
    </row>
    <row r="52" spans="2:2" ht="14.05" customHeight="1" x14ac:dyDescent="0.4">
      <c r="B52" s="3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6" x14ac:dyDescent="0.4"/>
  <cols>
    <col min="1" max="1" width="42" customWidth="1"/>
    <col min="2" max="2" width="14" customWidth="1"/>
    <col min="3" max="3" width="74" customWidth="1"/>
  </cols>
  <sheetData>
    <row r="1" spans="1:3" ht="17.600000000000001" x14ac:dyDescent="0.4">
      <c r="A1" s="7" t="s">
        <v>42</v>
      </c>
    </row>
    <row r="2" spans="1:3" x14ac:dyDescent="0.4">
      <c r="A2" s="8" t="s">
        <v>43</v>
      </c>
    </row>
    <row r="3" spans="1:3" x14ac:dyDescent="0.4">
      <c r="A3" s="9" t="s">
        <v>44</v>
      </c>
      <c r="B3" s="9" t="s">
        <v>45</v>
      </c>
      <c r="C3" s="9" t="s">
        <v>46</v>
      </c>
    </row>
    <row r="4" spans="1:3" x14ac:dyDescent="0.4">
      <c r="A4" s="10" t="s">
        <v>47</v>
      </c>
      <c r="B4" s="11">
        <v>3</v>
      </c>
      <c r="C4" s="12" t="s">
        <v>48</v>
      </c>
    </row>
    <row r="5" spans="1:3" x14ac:dyDescent="0.4">
      <c r="A5" s="10" t="s">
        <v>49</v>
      </c>
      <c r="B5" s="11">
        <v>12</v>
      </c>
      <c r="C5" s="12" t="s">
        <v>50</v>
      </c>
    </row>
    <row r="6" spans="1:3" x14ac:dyDescent="0.4">
      <c r="A6" s="10" t="s">
        <v>51</v>
      </c>
      <c r="B6" s="11">
        <v>50</v>
      </c>
      <c r="C6" s="12" t="s">
        <v>52</v>
      </c>
    </row>
    <row r="7" spans="1:3" x14ac:dyDescent="0.4">
      <c r="A7" s="10" t="s">
        <v>53</v>
      </c>
      <c r="B7" s="11">
        <v>2</v>
      </c>
      <c r="C7" s="12" t="s">
        <v>54</v>
      </c>
    </row>
    <row r="8" spans="1:3" x14ac:dyDescent="0.4">
      <c r="A8" s="10" t="s">
        <v>55</v>
      </c>
      <c r="B8" s="13">
        <v>0.6</v>
      </c>
      <c r="C8" s="12" t="s">
        <v>56</v>
      </c>
    </row>
    <row r="9" spans="1:3" x14ac:dyDescent="0.4">
      <c r="A9" s="10" t="s">
        <v>57</v>
      </c>
      <c r="B9" s="13">
        <v>0.8</v>
      </c>
      <c r="C9" s="12" t="s">
        <v>58</v>
      </c>
    </row>
    <row r="10" spans="1:3" x14ac:dyDescent="0.4">
      <c r="A10" s="10" t="s">
        <v>59</v>
      </c>
      <c r="B10" s="13">
        <v>1</v>
      </c>
      <c r="C10" s="12" t="s">
        <v>60</v>
      </c>
    </row>
    <row r="11" spans="1:3" x14ac:dyDescent="0.4">
      <c r="A11" s="10" t="s">
        <v>61</v>
      </c>
      <c r="B11" s="13">
        <v>0.12</v>
      </c>
      <c r="C11" s="12" t="s">
        <v>62</v>
      </c>
    </row>
    <row r="12" spans="1:3" x14ac:dyDescent="0.4">
      <c r="A12" s="10" t="s">
        <v>63</v>
      </c>
      <c r="B12" s="14">
        <v>1</v>
      </c>
      <c r="C12" s="12" t="s">
        <v>64</v>
      </c>
    </row>
    <row r="13" spans="1:3" x14ac:dyDescent="0.4">
      <c r="A13" s="10" t="s">
        <v>65</v>
      </c>
      <c r="B13" s="14">
        <v>1.25</v>
      </c>
      <c r="C13" s="12" t="s">
        <v>66</v>
      </c>
    </row>
    <row r="14" spans="1:3" x14ac:dyDescent="0.4">
      <c r="A14" s="10" t="s">
        <v>67</v>
      </c>
      <c r="B14" s="14">
        <v>1.5</v>
      </c>
      <c r="C14" s="12" t="s">
        <v>68</v>
      </c>
    </row>
    <row r="15" spans="1:3" x14ac:dyDescent="0.4">
      <c r="A15" s="10" t="s">
        <v>69</v>
      </c>
      <c r="B15" s="14">
        <v>1.65</v>
      </c>
      <c r="C15" s="12" t="s">
        <v>70</v>
      </c>
    </row>
    <row r="16" spans="1:3" x14ac:dyDescent="0.4">
      <c r="A16" s="10" t="s">
        <v>71</v>
      </c>
      <c r="B16" s="13">
        <v>0.15</v>
      </c>
      <c r="C16" s="12" t="s">
        <v>72</v>
      </c>
    </row>
    <row r="17" spans="1:3" x14ac:dyDescent="0.4">
      <c r="A17" s="10" t="s">
        <v>73</v>
      </c>
      <c r="B17" s="11">
        <v>5</v>
      </c>
      <c r="C17" s="12" t="s">
        <v>74</v>
      </c>
    </row>
    <row r="18" spans="1:3" x14ac:dyDescent="0.4">
      <c r="A18" s="10" t="s">
        <v>75</v>
      </c>
      <c r="B18" s="11">
        <v>5</v>
      </c>
      <c r="C18" s="12" t="s">
        <v>76</v>
      </c>
    </row>
    <row r="20" spans="1:3" x14ac:dyDescent="0.4">
      <c r="A20" s="8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14.6" x14ac:dyDescent="0.4"/>
  <cols>
    <col min="1" max="1" width="19" customWidth="1"/>
    <col min="2" max="2" width="32" customWidth="1"/>
    <col min="3" max="3" width="13" customWidth="1"/>
    <col min="4" max="4" width="17" customWidth="1"/>
    <col min="5" max="6" width="13" customWidth="1"/>
    <col min="7" max="7" width="19" customWidth="1"/>
    <col min="8" max="8" width="62" customWidth="1"/>
  </cols>
  <sheetData>
    <row r="1" spans="1:8" ht="17.600000000000001" x14ac:dyDescent="0.4">
      <c r="A1" s="7" t="s">
        <v>78</v>
      </c>
    </row>
    <row r="2" spans="1:8" x14ac:dyDescent="0.4">
      <c r="A2" s="8" t="s">
        <v>79</v>
      </c>
    </row>
    <row r="3" spans="1:8" x14ac:dyDescent="0.4">
      <c r="A3" s="15" t="s">
        <v>80</v>
      </c>
      <c r="B3" s="15" t="s">
        <v>81</v>
      </c>
      <c r="C3" s="15" t="s">
        <v>82</v>
      </c>
      <c r="D3" s="15" t="s">
        <v>83</v>
      </c>
      <c r="E3" s="15" t="s">
        <v>84</v>
      </c>
      <c r="F3" s="15" t="s">
        <v>85</v>
      </c>
      <c r="G3" s="9" t="s">
        <v>86</v>
      </c>
      <c r="H3" s="9" t="s">
        <v>87</v>
      </c>
    </row>
    <row r="4" spans="1:8" x14ac:dyDescent="0.4">
      <c r="A4" s="16" t="s">
        <v>88</v>
      </c>
      <c r="B4" s="17" t="s">
        <v>89</v>
      </c>
      <c r="C4" s="11">
        <v>10</v>
      </c>
      <c r="D4" s="18" t="s">
        <v>90</v>
      </c>
      <c r="E4" s="18" t="s">
        <v>90</v>
      </c>
      <c r="F4" s="14">
        <v>0</v>
      </c>
      <c r="G4" s="18" t="s">
        <v>90</v>
      </c>
      <c r="H4" s="19" t="s">
        <v>91</v>
      </c>
    </row>
    <row r="5" spans="1:8" x14ac:dyDescent="0.4">
      <c r="A5" s="20" t="s">
        <v>92</v>
      </c>
      <c r="B5" s="10" t="s">
        <v>93</v>
      </c>
      <c r="C5" s="11">
        <v>7</v>
      </c>
      <c r="D5" s="21" t="s">
        <v>94</v>
      </c>
      <c r="E5" s="21" t="s">
        <v>95</v>
      </c>
      <c r="F5" s="14">
        <v>0.15</v>
      </c>
      <c r="G5" s="21" t="s">
        <v>96</v>
      </c>
      <c r="H5" s="22" t="s">
        <v>97</v>
      </c>
    </row>
    <row r="6" spans="1:8" ht="25.75" x14ac:dyDescent="0.4">
      <c r="A6" s="16" t="s">
        <v>98</v>
      </c>
      <c r="B6" s="17" t="s">
        <v>99</v>
      </c>
      <c r="C6" s="11">
        <v>6</v>
      </c>
      <c r="D6" s="18" t="s">
        <v>100</v>
      </c>
      <c r="E6" s="18" t="s">
        <v>101</v>
      </c>
      <c r="F6" s="14">
        <v>0</v>
      </c>
      <c r="G6" s="18" t="s">
        <v>102</v>
      </c>
      <c r="H6" s="19" t="s">
        <v>103</v>
      </c>
    </row>
    <row r="7" spans="1:8" x14ac:dyDescent="0.4">
      <c r="A7" s="20" t="s">
        <v>104</v>
      </c>
      <c r="B7" s="10" t="s">
        <v>105</v>
      </c>
      <c r="C7" s="11">
        <v>4</v>
      </c>
      <c r="D7" s="21" t="s">
        <v>106</v>
      </c>
      <c r="E7" s="21" t="s">
        <v>90</v>
      </c>
      <c r="F7" s="14">
        <v>1</v>
      </c>
      <c r="G7" s="21" t="s">
        <v>107</v>
      </c>
      <c r="H7" s="22" t="s">
        <v>108</v>
      </c>
    </row>
    <row r="8" spans="1:8" x14ac:dyDescent="0.4">
      <c r="A8" s="16" t="s">
        <v>109</v>
      </c>
      <c r="B8" s="17" t="s">
        <v>110</v>
      </c>
      <c r="C8" s="11">
        <v>7</v>
      </c>
      <c r="D8" s="18" t="s">
        <v>111</v>
      </c>
      <c r="E8" s="18" t="s">
        <v>112</v>
      </c>
      <c r="F8" s="14">
        <v>0.15</v>
      </c>
      <c r="G8" s="18" t="s">
        <v>113</v>
      </c>
      <c r="H8" s="19" t="s">
        <v>114</v>
      </c>
    </row>
    <row r="10" spans="1:8" x14ac:dyDescent="0.4">
      <c r="A10" s="23" t="s">
        <v>115</v>
      </c>
    </row>
    <row r="11" spans="1:8" x14ac:dyDescent="0.4">
      <c r="A11" s="23" t="s">
        <v>116</v>
      </c>
    </row>
    <row r="12" spans="1:8" x14ac:dyDescent="0.4">
      <c r="A12" s="23" t="s">
        <v>117</v>
      </c>
    </row>
    <row r="13" spans="1:8" x14ac:dyDescent="0.4">
      <c r="A13" s="23" t="s">
        <v>118</v>
      </c>
    </row>
    <row r="14" spans="1:8" x14ac:dyDescent="0.4">
      <c r="A14" s="23" t="s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19" customWidth="1"/>
    <col min="2" max="2" width="20" customWidth="1"/>
    <col min="3" max="3" width="11" customWidth="1"/>
    <col min="4" max="4" width="8" customWidth="1"/>
    <col min="5" max="5" width="9" customWidth="1"/>
    <col min="6" max="6" width="17" customWidth="1"/>
    <col min="7" max="7" width="12" customWidth="1"/>
    <col min="8" max="8" width="11" customWidth="1"/>
    <col min="9" max="9" width="8" customWidth="1"/>
    <col min="10" max="10" width="18" customWidth="1"/>
    <col min="11" max="11" width="6" customWidth="1"/>
    <col min="12" max="12" width="9" customWidth="1"/>
    <col min="13" max="13" width="12" customWidth="1"/>
    <col min="14" max="14" width="10" customWidth="1"/>
    <col min="15" max="15" width="9" customWidth="1"/>
    <col min="16" max="16" width="12" customWidth="1"/>
    <col min="17" max="17" width="58" customWidth="1"/>
  </cols>
  <sheetData>
    <row r="1" spans="1:17" ht="17.600000000000001" x14ac:dyDescent="0.4">
      <c r="A1" s="7" t="s">
        <v>120</v>
      </c>
    </row>
    <row r="2" spans="1:17" x14ac:dyDescent="0.4">
      <c r="A2" s="8" t="s">
        <v>121</v>
      </c>
    </row>
    <row r="3" spans="1:17" ht="24.9" x14ac:dyDescent="0.4">
      <c r="A3" s="9" t="s">
        <v>80</v>
      </c>
      <c r="B3" s="9" t="s">
        <v>81</v>
      </c>
      <c r="C3" s="9" t="s">
        <v>122</v>
      </c>
      <c r="D3" s="9" t="s">
        <v>123</v>
      </c>
      <c r="E3" s="9" t="s">
        <v>124</v>
      </c>
      <c r="F3" s="9" t="s">
        <v>125</v>
      </c>
      <c r="G3" s="9" t="s">
        <v>126</v>
      </c>
      <c r="H3" s="9" t="s">
        <v>127</v>
      </c>
      <c r="I3" s="9" t="s">
        <v>128</v>
      </c>
      <c r="J3" s="9" t="s">
        <v>129</v>
      </c>
      <c r="K3" s="9" t="s">
        <v>130</v>
      </c>
      <c r="L3" s="9" t="s">
        <v>131</v>
      </c>
      <c r="M3" s="9" t="s">
        <v>132</v>
      </c>
      <c r="N3" s="9" t="s">
        <v>133</v>
      </c>
      <c r="O3" s="9" t="s">
        <v>134</v>
      </c>
      <c r="P3" s="9" t="s">
        <v>135</v>
      </c>
      <c r="Q3" s="9" t="s">
        <v>87</v>
      </c>
    </row>
    <row r="4" spans="1:17" ht="15" customHeight="1" x14ac:dyDescent="0.4">
      <c r="A4" s="16" t="s">
        <v>136</v>
      </c>
      <c r="B4" s="16" t="s">
        <v>137</v>
      </c>
      <c r="C4" s="18" t="s">
        <v>95</v>
      </c>
      <c r="D4" s="24">
        <v>1</v>
      </c>
      <c r="E4" s="24">
        <v>0</v>
      </c>
      <c r="F4" s="16" t="s">
        <v>138</v>
      </c>
      <c r="G4" s="25">
        <v>8.3299999999999999E-2</v>
      </c>
      <c r="H4" s="26">
        <v>0</v>
      </c>
      <c r="I4" s="24">
        <v>0</v>
      </c>
      <c r="J4" s="16"/>
      <c r="K4" s="24">
        <v>0</v>
      </c>
      <c r="L4" s="26">
        <v>0</v>
      </c>
      <c r="M4" s="25">
        <v>0.1167</v>
      </c>
      <c r="N4" s="18" t="s">
        <v>139</v>
      </c>
      <c r="O4" s="27" t="s">
        <v>140</v>
      </c>
      <c r="P4" s="28">
        <f>$G4*30000*Assumptions!$B$15</f>
        <v>4123.3499999999995</v>
      </c>
      <c r="Q4" s="19" t="s">
        <v>141</v>
      </c>
    </row>
    <row r="5" spans="1:17" ht="15" customHeight="1" x14ac:dyDescent="0.4">
      <c r="A5" s="20" t="s">
        <v>142</v>
      </c>
      <c r="B5" s="20" t="s">
        <v>143</v>
      </c>
      <c r="C5" s="21" t="s">
        <v>95</v>
      </c>
      <c r="D5" s="29">
        <v>2</v>
      </c>
      <c r="E5" s="29">
        <v>3</v>
      </c>
      <c r="F5" s="20" t="s">
        <v>138</v>
      </c>
      <c r="G5" s="30">
        <v>0.16669999999999999</v>
      </c>
      <c r="H5" s="31">
        <v>0</v>
      </c>
      <c r="I5" s="29">
        <v>0</v>
      </c>
      <c r="J5" s="20"/>
      <c r="K5" s="29">
        <v>0</v>
      </c>
      <c r="L5" s="31">
        <v>0</v>
      </c>
      <c r="M5" s="30">
        <v>0.22670000000000001</v>
      </c>
      <c r="N5" s="21" t="s">
        <v>144</v>
      </c>
      <c r="O5" s="32" t="s">
        <v>140</v>
      </c>
      <c r="P5" s="33">
        <f>$G5*30000*Assumptions!$B$15</f>
        <v>8251.65</v>
      </c>
      <c r="Q5" s="22" t="s">
        <v>145</v>
      </c>
    </row>
    <row r="6" spans="1:17" ht="15" customHeight="1" x14ac:dyDescent="0.4">
      <c r="A6" s="16" t="s">
        <v>146</v>
      </c>
      <c r="B6" s="16" t="s">
        <v>147</v>
      </c>
      <c r="C6" s="18" t="s">
        <v>95</v>
      </c>
      <c r="D6" s="24">
        <v>1</v>
      </c>
      <c r="E6" s="24">
        <v>0</v>
      </c>
      <c r="F6" s="16" t="s">
        <v>148</v>
      </c>
      <c r="G6" s="25">
        <v>0</v>
      </c>
      <c r="H6" s="26">
        <v>0.15</v>
      </c>
      <c r="I6" s="24">
        <v>0</v>
      </c>
      <c r="J6" s="16"/>
      <c r="K6" s="24">
        <v>0</v>
      </c>
      <c r="L6" s="26">
        <v>0</v>
      </c>
      <c r="M6" s="25">
        <v>0</v>
      </c>
      <c r="N6" s="18" t="s">
        <v>144</v>
      </c>
      <c r="O6" s="27" t="s">
        <v>140</v>
      </c>
      <c r="P6" s="28">
        <f>$G6*30000*Assumptions!$B$15</f>
        <v>0</v>
      </c>
      <c r="Q6" s="19" t="s">
        <v>149</v>
      </c>
    </row>
    <row r="7" spans="1:17" ht="15" customHeight="1" x14ac:dyDescent="0.4">
      <c r="A7" s="20" t="s">
        <v>150</v>
      </c>
      <c r="B7" s="20" t="s">
        <v>151</v>
      </c>
      <c r="C7" s="21" t="s">
        <v>101</v>
      </c>
      <c r="D7" s="29">
        <v>2</v>
      </c>
      <c r="E7" s="29">
        <v>4</v>
      </c>
      <c r="F7" s="20" t="s">
        <v>138</v>
      </c>
      <c r="G7" s="30">
        <v>0.1333</v>
      </c>
      <c r="H7" s="31">
        <v>0</v>
      </c>
      <c r="I7" s="29">
        <v>0</v>
      </c>
      <c r="J7" s="20"/>
      <c r="K7" s="29">
        <v>0</v>
      </c>
      <c r="L7" s="31">
        <v>0</v>
      </c>
      <c r="M7" s="30">
        <v>0.18</v>
      </c>
      <c r="N7" s="21" t="s">
        <v>144</v>
      </c>
      <c r="O7" s="32" t="s">
        <v>140</v>
      </c>
      <c r="P7" s="33">
        <f>$G7*30000*Assumptions!$B$15</f>
        <v>6598.3499999999995</v>
      </c>
      <c r="Q7" s="22" t="s">
        <v>152</v>
      </c>
    </row>
    <row r="8" spans="1:17" ht="15" customHeight="1" x14ac:dyDescent="0.4">
      <c r="A8" s="16" t="s">
        <v>153</v>
      </c>
      <c r="B8" s="16" t="s">
        <v>154</v>
      </c>
      <c r="C8" s="18" t="s">
        <v>101</v>
      </c>
      <c r="D8" s="24">
        <v>1</v>
      </c>
      <c r="E8" s="24">
        <v>2</v>
      </c>
      <c r="F8" s="16" t="s">
        <v>138</v>
      </c>
      <c r="G8" s="25">
        <v>7.3300000000000004E-2</v>
      </c>
      <c r="H8" s="26">
        <v>0</v>
      </c>
      <c r="I8" s="24">
        <v>0</v>
      </c>
      <c r="J8" s="16"/>
      <c r="K8" s="24">
        <v>0</v>
      </c>
      <c r="L8" s="26">
        <v>0</v>
      </c>
      <c r="M8" s="25">
        <v>0.1</v>
      </c>
      <c r="N8" s="18" t="s">
        <v>139</v>
      </c>
      <c r="O8" s="18"/>
      <c r="P8" s="28">
        <f>$G8*30000*Assumptions!$B$15</f>
        <v>3628.35</v>
      </c>
      <c r="Q8" s="19" t="s">
        <v>155</v>
      </c>
    </row>
    <row r="9" spans="1:17" ht="15" customHeight="1" x14ac:dyDescent="0.4">
      <c r="A9" s="20" t="s">
        <v>156</v>
      </c>
      <c r="B9" s="20" t="s">
        <v>157</v>
      </c>
      <c r="C9" s="21" t="s">
        <v>101</v>
      </c>
      <c r="D9" s="29">
        <v>1</v>
      </c>
      <c r="E9" s="29">
        <v>3</v>
      </c>
      <c r="F9" s="20" t="s">
        <v>138</v>
      </c>
      <c r="G9" s="30">
        <v>0.06</v>
      </c>
      <c r="H9" s="31">
        <v>0</v>
      </c>
      <c r="I9" s="29">
        <v>0</v>
      </c>
      <c r="J9" s="20"/>
      <c r="K9" s="29">
        <v>0</v>
      </c>
      <c r="L9" s="31">
        <v>0</v>
      </c>
      <c r="M9" s="30">
        <v>8.3299999999999999E-2</v>
      </c>
      <c r="N9" s="21" t="s">
        <v>144</v>
      </c>
      <c r="O9" s="21"/>
      <c r="P9" s="33">
        <f>$G9*30000*Assumptions!$B$15</f>
        <v>2970</v>
      </c>
      <c r="Q9" s="22" t="s">
        <v>158</v>
      </c>
    </row>
    <row r="10" spans="1:17" ht="15" customHeight="1" x14ac:dyDescent="0.4">
      <c r="A10" s="16" t="s">
        <v>159</v>
      </c>
      <c r="B10" s="16" t="s">
        <v>160</v>
      </c>
      <c r="C10" s="18" t="s">
        <v>112</v>
      </c>
      <c r="D10" s="24">
        <v>1</v>
      </c>
      <c r="E10" s="24">
        <v>5</v>
      </c>
      <c r="F10" s="16" t="s">
        <v>138</v>
      </c>
      <c r="G10" s="25">
        <v>6.6699999999999995E-2</v>
      </c>
      <c r="H10" s="26">
        <v>0</v>
      </c>
      <c r="I10" s="24">
        <v>0</v>
      </c>
      <c r="J10" s="16"/>
      <c r="K10" s="24">
        <v>0</v>
      </c>
      <c r="L10" s="26">
        <v>0</v>
      </c>
      <c r="M10" s="25">
        <v>9.3299999999999994E-2</v>
      </c>
      <c r="N10" s="18" t="s">
        <v>139</v>
      </c>
      <c r="O10" s="27" t="s">
        <v>140</v>
      </c>
      <c r="P10" s="28">
        <f>$G10*30000*Assumptions!$B$15</f>
        <v>3301.6499999999996</v>
      </c>
      <c r="Q10" s="19" t="s">
        <v>161</v>
      </c>
    </row>
    <row r="11" spans="1:17" ht="15" customHeight="1" x14ac:dyDescent="0.4">
      <c r="A11" s="20" t="s">
        <v>162</v>
      </c>
      <c r="B11" s="20" t="s">
        <v>163</v>
      </c>
      <c r="C11" s="21" t="s">
        <v>112</v>
      </c>
      <c r="D11" s="29">
        <v>2</v>
      </c>
      <c r="E11" s="29">
        <v>3</v>
      </c>
      <c r="F11" s="20" t="s">
        <v>138</v>
      </c>
      <c r="G11" s="30">
        <v>0.12670000000000001</v>
      </c>
      <c r="H11" s="31">
        <v>0</v>
      </c>
      <c r="I11" s="29">
        <v>0</v>
      </c>
      <c r="J11" s="20"/>
      <c r="K11" s="29">
        <v>0</v>
      </c>
      <c r="L11" s="31">
        <v>0</v>
      </c>
      <c r="M11" s="30">
        <v>0.17330000000000001</v>
      </c>
      <c r="N11" s="21" t="s">
        <v>144</v>
      </c>
      <c r="O11" s="21"/>
      <c r="P11" s="33">
        <f>$G11*30000*Assumptions!$B$15</f>
        <v>6271.65</v>
      </c>
      <c r="Q11" s="22" t="s">
        <v>164</v>
      </c>
    </row>
    <row r="12" spans="1:17" ht="15" customHeight="1" x14ac:dyDescent="0.4">
      <c r="A12" s="16" t="s">
        <v>165</v>
      </c>
      <c r="B12" s="16" t="s">
        <v>166</v>
      </c>
      <c r="C12" s="18" t="s">
        <v>112</v>
      </c>
      <c r="D12" s="24">
        <v>0</v>
      </c>
      <c r="E12" s="24">
        <v>4</v>
      </c>
      <c r="F12" s="16" t="s">
        <v>138</v>
      </c>
      <c r="G12" s="25">
        <v>0.03</v>
      </c>
      <c r="H12" s="26">
        <v>0</v>
      </c>
      <c r="I12" s="24">
        <v>0</v>
      </c>
      <c r="J12" s="16"/>
      <c r="K12" s="24">
        <v>0</v>
      </c>
      <c r="L12" s="26">
        <v>0</v>
      </c>
      <c r="M12" s="25">
        <v>4.3299999999999998E-2</v>
      </c>
      <c r="N12" s="18" t="s">
        <v>144</v>
      </c>
      <c r="O12" s="18"/>
      <c r="P12" s="28">
        <f>$G12*30000*Assumptions!$B$15</f>
        <v>1485</v>
      </c>
      <c r="Q12" s="19" t="s">
        <v>167</v>
      </c>
    </row>
    <row r="13" spans="1:17" ht="15" customHeight="1" x14ac:dyDescent="0.4">
      <c r="A13" s="20" t="s">
        <v>168</v>
      </c>
      <c r="B13" s="20" t="s">
        <v>169</v>
      </c>
      <c r="C13" s="21" t="s">
        <v>170</v>
      </c>
      <c r="D13" s="29">
        <v>1</v>
      </c>
      <c r="E13" s="29">
        <v>0</v>
      </c>
      <c r="F13" s="20" t="s">
        <v>171</v>
      </c>
      <c r="G13" s="30">
        <v>0</v>
      </c>
      <c r="H13" s="31">
        <v>0</v>
      </c>
      <c r="I13" s="29">
        <v>10</v>
      </c>
      <c r="J13" s="20"/>
      <c r="K13" s="29">
        <v>0</v>
      </c>
      <c r="L13" s="31">
        <v>0</v>
      </c>
      <c r="M13" s="30">
        <v>14</v>
      </c>
      <c r="N13" s="21" t="s">
        <v>139</v>
      </c>
      <c r="O13" s="32" t="s">
        <v>140</v>
      </c>
      <c r="P13" s="33">
        <f>$G13*30000*Assumptions!$B$15</f>
        <v>0</v>
      </c>
      <c r="Q13" s="22" t="s">
        <v>172</v>
      </c>
    </row>
    <row r="14" spans="1:17" ht="15" customHeight="1" x14ac:dyDescent="0.4">
      <c r="A14" s="16" t="s">
        <v>173</v>
      </c>
      <c r="B14" s="16" t="s">
        <v>174</v>
      </c>
      <c r="C14" s="18" t="s">
        <v>170</v>
      </c>
      <c r="D14" s="24">
        <v>0</v>
      </c>
      <c r="E14" s="24">
        <v>0</v>
      </c>
      <c r="F14" s="16" t="s">
        <v>171</v>
      </c>
      <c r="G14" s="25">
        <v>0</v>
      </c>
      <c r="H14" s="26">
        <v>0</v>
      </c>
      <c r="I14" s="24">
        <v>4</v>
      </c>
      <c r="J14" s="16"/>
      <c r="K14" s="24">
        <v>0</v>
      </c>
      <c r="L14" s="26">
        <v>0</v>
      </c>
      <c r="M14" s="25">
        <v>6</v>
      </c>
      <c r="N14" s="18" t="s">
        <v>139</v>
      </c>
      <c r="O14" s="27" t="s">
        <v>140</v>
      </c>
      <c r="P14" s="28">
        <f>$G14*30000*Assumptions!$B$15</f>
        <v>0</v>
      </c>
      <c r="Q14" s="19" t="s">
        <v>175</v>
      </c>
    </row>
    <row r="15" spans="1:17" ht="15" customHeight="1" x14ac:dyDescent="0.4">
      <c r="A15" s="20" t="s">
        <v>176</v>
      </c>
      <c r="B15" s="20" t="s">
        <v>177</v>
      </c>
      <c r="C15" s="21" t="s">
        <v>101</v>
      </c>
      <c r="D15" s="29">
        <v>1</v>
      </c>
      <c r="E15" s="29">
        <v>0</v>
      </c>
      <c r="F15" s="20" t="s">
        <v>171</v>
      </c>
      <c r="G15" s="30">
        <v>0</v>
      </c>
      <c r="H15" s="31">
        <v>0.1</v>
      </c>
      <c r="I15" s="29">
        <v>6</v>
      </c>
      <c r="J15" s="20"/>
      <c r="K15" s="29">
        <v>0</v>
      </c>
      <c r="L15" s="31">
        <v>0</v>
      </c>
      <c r="M15" s="30">
        <v>9</v>
      </c>
      <c r="N15" s="21" t="s">
        <v>144</v>
      </c>
      <c r="O15" s="21"/>
      <c r="P15" s="33">
        <f>$G15*30000*Assumptions!$B$15</f>
        <v>0</v>
      </c>
      <c r="Q15" s="22" t="s">
        <v>178</v>
      </c>
    </row>
    <row r="16" spans="1:17" ht="15" customHeight="1" x14ac:dyDescent="0.4">
      <c r="A16" s="16" t="s">
        <v>179</v>
      </c>
      <c r="B16" s="16" t="s">
        <v>180</v>
      </c>
      <c r="C16" s="18" t="s">
        <v>170</v>
      </c>
      <c r="D16" s="24">
        <v>0</v>
      </c>
      <c r="E16" s="24">
        <v>0</v>
      </c>
      <c r="F16" s="16" t="s">
        <v>181</v>
      </c>
      <c r="G16" s="25">
        <v>0</v>
      </c>
      <c r="H16" s="26">
        <v>0</v>
      </c>
      <c r="I16" s="24">
        <v>0</v>
      </c>
      <c r="J16" s="16"/>
      <c r="K16" s="24">
        <v>1</v>
      </c>
      <c r="L16" s="26">
        <v>0</v>
      </c>
      <c r="M16" s="25">
        <v>0</v>
      </c>
      <c r="N16" s="18" t="s">
        <v>139</v>
      </c>
      <c r="O16" s="18"/>
      <c r="P16" s="28">
        <f>$G16*30000*Assumptions!$B$15</f>
        <v>0</v>
      </c>
      <c r="Q16" s="19" t="s">
        <v>182</v>
      </c>
    </row>
    <row r="17" spans="1:17" ht="15" customHeight="1" x14ac:dyDescent="0.4">
      <c r="A17" s="20" t="s">
        <v>183</v>
      </c>
      <c r="B17" s="20" t="s">
        <v>184</v>
      </c>
      <c r="C17" s="21" t="s">
        <v>185</v>
      </c>
      <c r="D17" s="29">
        <v>1</v>
      </c>
      <c r="E17" s="29">
        <v>0</v>
      </c>
      <c r="F17" s="20" t="s">
        <v>148</v>
      </c>
      <c r="G17" s="30">
        <v>0</v>
      </c>
      <c r="H17" s="31">
        <v>0.2</v>
      </c>
      <c r="I17" s="29">
        <v>0</v>
      </c>
      <c r="J17" s="20"/>
      <c r="K17" s="29">
        <v>0</v>
      </c>
      <c r="L17" s="31">
        <v>0</v>
      </c>
      <c r="M17" s="30">
        <v>0</v>
      </c>
      <c r="N17" s="21" t="s">
        <v>144</v>
      </c>
      <c r="O17" s="32" t="s">
        <v>140</v>
      </c>
      <c r="P17" s="33">
        <f>$G17*30000*Assumptions!$B$15</f>
        <v>0</v>
      </c>
      <c r="Q17" s="22" t="s">
        <v>186</v>
      </c>
    </row>
    <row r="18" spans="1:17" ht="15" customHeight="1" x14ac:dyDescent="0.4">
      <c r="A18" s="16" t="s">
        <v>187</v>
      </c>
      <c r="B18" s="16" t="s">
        <v>188</v>
      </c>
      <c r="C18" s="18" t="s">
        <v>170</v>
      </c>
      <c r="D18" s="24">
        <v>0</v>
      </c>
      <c r="E18" s="24">
        <v>0</v>
      </c>
      <c r="F18" s="16" t="s">
        <v>189</v>
      </c>
      <c r="G18" s="25">
        <v>0</v>
      </c>
      <c r="H18" s="26">
        <v>0</v>
      </c>
      <c r="I18" s="24">
        <v>0</v>
      </c>
      <c r="J18" s="16"/>
      <c r="K18" s="24">
        <v>0</v>
      </c>
      <c r="L18" s="26">
        <v>0</v>
      </c>
      <c r="M18" s="25">
        <v>0</v>
      </c>
      <c r="N18" s="18" t="s">
        <v>144</v>
      </c>
      <c r="O18" s="18"/>
      <c r="P18" s="28">
        <f>$G18*30000*Assumptions!$B$15</f>
        <v>0</v>
      </c>
      <c r="Q18" s="19" t="s">
        <v>190</v>
      </c>
    </row>
    <row r="19" spans="1:17" ht="15" customHeight="1" x14ac:dyDescent="0.4">
      <c r="A19" s="20" t="s">
        <v>191</v>
      </c>
      <c r="B19" s="20" t="s">
        <v>192</v>
      </c>
      <c r="C19" s="21" t="s">
        <v>95</v>
      </c>
      <c r="D19" s="29">
        <v>1</v>
      </c>
      <c r="E19" s="29">
        <v>0</v>
      </c>
      <c r="F19" s="20" t="s">
        <v>193</v>
      </c>
      <c r="G19" s="30">
        <v>0</v>
      </c>
      <c r="H19" s="31">
        <v>0</v>
      </c>
      <c r="I19" s="29">
        <v>5</v>
      </c>
      <c r="J19" s="20"/>
      <c r="K19" s="29">
        <v>2</v>
      </c>
      <c r="L19" s="31">
        <v>0</v>
      </c>
      <c r="M19" s="30">
        <v>0</v>
      </c>
      <c r="N19" s="21" t="s">
        <v>144</v>
      </c>
      <c r="O19" s="21"/>
      <c r="P19" s="33">
        <f>$G19*30000*Assumptions!$B$15</f>
        <v>0</v>
      </c>
      <c r="Q19" s="22" t="s">
        <v>194</v>
      </c>
    </row>
    <row r="20" spans="1:17" ht="15" customHeight="1" x14ac:dyDescent="0.4">
      <c r="A20" s="16" t="s">
        <v>195</v>
      </c>
      <c r="B20" s="16" t="s">
        <v>196</v>
      </c>
      <c r="C20" s="18" t="s">
        <v>185</v>
      </c>
      <c r="D20" s="24">
        <v>1</v>
      </c>
      <c r="E20" s="24">
        <v>2</v>
      </c>
      <c r="F20" s="16" t="s">
        <v>197</v>
      </c>
      <c r="G20" s="25">
        <v>0</v>
      </c>
      <c r="H20" s="26">
        <v>0</v>
      </c>
      <c r="I20" s="24">
        <v>0</v>
      </c>
      <c r="J20" s="16"/>
      <c r="K20" s="24">
        <v>0</v>
      </c>
      <c r="L20" s="26">
        <v>0.5</v>
      </c>
      <c r="M20" s="25">
        <v>0.8</v>
      </c>
      <c r="N20" s="18" t="s">
        <v>198</v>
      </c>
      <c r="O20" s="18"/>
      <c r="P20" s="28">
        <f>$G20*30000*Assumptions!$B$15</f>
        <v>0</v>
      </c>
      <c r="Q20" s="19" t="s">
        <v>199</v>
      </c>
    </row>
    <row r="21" spans="1:17" ht="15" customHeight="1" x14ac:dyDescent="0.4">
      <c r="A21" s="20" t="s">
        <v>200</v>
      </c>
      <c r="B21" s="20" t="s">
        <v>201</v>
      </c>
      <c r="C21" s="21" t="s">
        <v>185</v>
      </c>
      <c r="D21" s="29">
        <v>2</v>
      </c>
      <c r="E21" s="29">
        <v>8</v>
      </c>
      <c r="F21" s="20" t="s">
        <v>138</v>
      </c>
      <c r="G21" s="30">
        <v>0.2</v>
      </c>
      <c r="H21" s="31">
        <v>0</v>
      </c>
      <c r="I21" s="29">
        <v>0</v>
      </c>
      <c r="J21" s="20"/>
      <c r="K21" s="29">
        <v>0</v>
      </c>
      <c r="L21" s="31">
        <v>0</v>
      </c>
      <c r="M21" s="30">
        <v>0.26669999999999999</v>
      </c>
      <c r="N21" s="21" t="s">
        <v>198</v>
      </c>
      <c r="O21" s="21"/>
      <c r="P21" s="33">
        <f>$G21*30000*Assumptions!$B$15</f>
        <v>9900</v>
      </c>
      <c r="Q21" s="22" t="s">
        <v>202</v>
      </c>
    </row>
    <row r="22" spans="1:17" ht="15" customHeight="1" x14ac:dyDescent="0.4">
      <c r="A22" s="16" t="s">
        <v>203</v>
      </c>
      <c r="B22" s="16" t="s">
        <v>96</v>
      </c>
      <c r="C22" s="18" t="s">
        <v>170</v>
      </c>
      <c r="D22" s="24">
        <v>1</v>
      </c>
      <c r="E22" s="24">
        <v>0</v>
      </c>
      <c r="F22" s="16" t="s">
        <v>204</v>
      </c>
      <c r="G22" s="25">
        <v>0</v>
      </c>
      <c r="H22" s="26">
        <v>0</v>
      </c>
      <c r="I22" s="24">
        <v>4</v>
      </c>
      <c r="J22" s="16" t="s">
        <v>92</v>
      </c>
      <c r="K22" s="24">
        <v>0</v>
      </c>
      <c r="L22" s="26">
        <v>0</v>
      </c>
      <c r="M22" s="25">
        <v>6</v>
      </c>
      <c r="N22" s="18" t="s">
        <v>144</v>
      </c>
      <c r="O22" s="27" t="s">
        <v>140</v>
      </c>
      <c r="P22" s="28">
        <f>$G22*30000*Assumptions!$B$15</f>
        <v>0</v>
      </c>
      <c r="Q22" s="19" t="s">
        <v>205</v>
      </c>
    </row>
    <row r="23" spans="1:17" ht="15" customHeight="1" x14ac:dyDescent="0.4">
      <c r="A23" s="20" t="s">
        <v>206</v>
      </c>
      <c r="B23" s="20" t="s">
        <v>102</v>
      </c>
      <c r="C23" s="21" t="s">
        <v>170</v>
      </c>
      <c r="D23" s="29">
        <v>1</v>
      </c>
      <c r="E23" s="29">
        <v>0</v>
      </c>
      <c r="F23" s="20" t="s">
        <v>204</v>
      </c>
      <c r="G23" s="30">
        <v>0</v>
      </c>
      <c r="H23" s="31">
        <v>0</v>
      </c>
      <c r="I23" s="29">
        <v>4</v>
      </c>
      <c r="J23" s="20" t="s">
        <v>98</v>
      </c>
      <c r="K23" s="29">
        <v>0</v>
      </c>
      <c r="L23" s="31">
        <v>0</v>
      </c>
      <c r="M23" s="30">
        <v>6</v>
      </c>
      <c r="N23" s="21" t="s">
        <v>144</v>
      </c>
      <c r="O23" s="32" t="s">
        <v>140</v>
      </c>
      <c r="P23" s="33">
        <f>$G23*30000*Assumptions!$B$15</f>
        <v>0</v>
      </c>
      <c r="Q23" s="22" t="s">
        <v>207</v>
      </c>
    </row>
    <row r="24" spans="1:17" ht="15" customHeight="1" x14ac:dyDescent="0.4">
      <c r="A24" s="16" t="s">
        <v>208</v>
      </c>
      <c r="B24" s="16" t="s">
        <v>107</v>
      </c>
      <c r="C24" s="18" t="s">
        <v>170</v>
      </c>
      <c r="D24" s="24">
        <v>1</v>
      </c>
      <c r="E24" s="24">
        <v>0</v>
      </c>
      <c r="F24" s="16" t="s">
        <v>204</v>
      </c>
      <c r="G24" s="25">
        <v>0</v>
      </c>
      <c r="H24" s="26">
        <v>0</v>
      </c>
      <c r="I24" s="24">
        <v>3</v>
      </c>
      <c r="J24" s="16" t="s">
        <v>104</v>
      </c>
      <c r="K24" s="24">
        <v>0</v>
      </c>
      <c r="L24" s="26">
        <v>0</v>
      </c>
      <c r="M24" s="25">
        <v>5</v>
      </c>
      <c r="N24" s="18" t="s">
        <v>144</v>
      </c>
      <c r="O24" s="18"/>
      <c r="P24" s="28">
        <f>$G24*30000*Assumptions!$B$15</f>
        <v>0</v>
      </c>
      <c r="Q24" s="19" t="s">
        <v>209</v>
      </c>
    </row>
    <row r="25" spans="1:17" ht="15" customHeight="1" x14ac:dyDescent="0.4">
      <c r="A25" s="20" t="s">
        <v>210</v>
      </c>
      <c r="B25" s="20" t="s">
        <v>113</v>
      </c>
      <c r="C25" s="21" t="s">
        <v>170</v>
      </c>
      <c r="D25" s="29">
        <v>1</v>
      </c>
      <c r="E25" s="29">
        <v>0</v>
      </c>
      <c r="F25" s="20" t="s">
        <v>204</v>
      </c>
      <c r="G25" s="30">
        <v>0</v>
      </c>
      <c r="H25" s="31">
        <v>0</v>
      </c>
      <c r="I25" s="29">
        <v>4</v>
      </c>
      <c r="J25" s="20" t="s">
        <v>109</v>
      </c>
      <c r="K25" s="29">
        <v>0</v>
      </c>
      <c r="L25" s="31">
        <v>0</v>
      </c>
      <c r="M25" s="30">
        <v>6</v>
      </c>
      <c r="N25" s="21" t="s">
        <v>144</v>
      </c>
      <c r="O25" s="21"/>
      <c r="P25" s="33">
        <f>$G25*30000*Assumptions!$B$15</f>
        <v>0</v>
      </c>
      <c r="Q25" s="22" t="s">
        <v>211</v>
      </c>
    </row>
    <row r="27" spans="1:17" x14ac:dyDescent="0.4">
      <c r="A27" s="8" t="s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workbookViewId="0"/>
  </sheetViews>
  <sheetFormatPr defaultRowHeight="14.6" x14ac:dyDescent="0.4"/>
  <cols>
    <col min="1" max="1" width="17" customWidth="1"/>
    <col min="2" max="2" width="18" customWidth="1"/>
    <col min="3" max="3" width="12" customWidth="1"/>
    <col min="4" max="4" width="15" customWidth="1"/>
    <col min="5" max="5" width="12" customWidth="1"/>
    <col min="6" max="6" width="14" customWidth="1"/>
    <col min="7" max="7" width="13" customWidth="1"/>
    <col min="8" max="9" width="12" customWidth="1"/>
    <col min="10" max="10" width="13" customWidth="1"/>
    <col min="11" max="13" width="19" customWidth="1"/>
    <col min="14" max="14" width="14" customWidth="1"/>
    <col min="15" max="15" width="62" customWidth="1"/>
  </cols>
  <sheetData>
    <row r="1" spans="1:15" ht="17.600000000000001" x14ac:dyDescent="0.4">
      <c r="A1" s="7" t="s">
        <v>213</v>
      </c>
    </row>
    <row r="2" spans="1:15" x14ac:dyDescent="0.4">
      <c r="A2" s="8" t="s">
        <v>214</v>
      </c>
    </row>
    <row r="3" spans="1:15" ht="24.9" x14ac:dyDescent="0.4">
      <c r="A3" s="9" t="s">
        <v>80</v>
      </c>
      <c r="B3" s="9" t="s">
        <v>81</v>
      </c>
      <c r="C3" s="9" t="s">
        <v>215</v>
      </c>
      <c r="D3" s="9" t="s">
        <v>216</v>
      </c>
      <c r="E3" s="9" t="s">
        <v>217</v>
      </c>
      <c r="F3" s="9" t="s">
        <v>218</v>
      </c>
      <c r="G3" s="9" t="s">
        <v>219</v>
      </c>
      <c r="H3" s="9" t="s">
        <v>220</v>
      </c>
      <c r="I3" s="9" t="s">
        <v>221</v>
      </c>
      <c r="J3" s="9" t="s">
        <v>222</v>
      </c>
      <c r="K3" s="15" t="s">
        <v>223</v>
      </c>
      <c r="L3" s="15" t="s">
        <v>224</v>
      </c>
      <c r="M3" s="15" t="s">
        <v>225</v>
      </c>
      <c r="N3" s="9" t="s">
        <v>226</v>
      </c>
      <c r="O3" s="9" t="s">
        <v>227</v>
      </c>
    </row>
    <row r="4" spans="1:15" ht="25.75" x14ac:dyDescent="0.4">
      <c r="A4" s="16" t="s">
        <v>228</v>
      </c>
      <c r="B4" s="17" t="s">
        <v>229</v>
      </c>
      <c r="C4" s="34">
        <v>18000</v>
      </c>
      <c r="D4" s="11">
        <v>48</v>
      </c>
      <c r="E4" s="13">
        <v>0.25</v>
      </c>
      <c r="F4" s="13">
        <v>0.35</v>
      </c>
      <c r="G4" s="13">
        <v>0.55000000000000004</v>
      </c>
      <c r="H4" s="28">
        <f>$C4*Assumptions!$B$8</f>
        <v>10800</v>
      </c>
      <c r="I4" s="28">
        <f>$C4*Assumptions!$B$9</f>
        <v>14400</v>
      </c>
      <c r="J4" s="28">
        <f>$C4*Assumptions!$B$10</f>
        <v>18000</v>
      </c>
      <c r="K4" s="35" t="s">
        <v>88</v>
      </c>
      <c r="L4" s="35" t="s">
        <v>98</v>
      </c>
      <c r="M4" s="35" t="s">
        <v>104</v>
      </c>
      <c r="N4" s="18" t="s">
        <v>230</v>
      </c>
      <c r="O4" s="19" t="s">
        <v>231</v>
      </c>
    </row>
    <row r="5" spans="1:15" x14ac:dyDescent="0.4">
      <c r="A5" s="20" t="s">
        <v>232</v>
      </c>
      <c r="B5" s="10" t="s">
        <v>233</v>
      </c>
      <c r="C5" s="34">
        <v>30000</v>
      </c>
      <c r="D5" s="11">
        <v>50</v>
      </c>
      <c r="E5" s="13">
        <v>0.3</v>
      </c>
      <c r="F5" s="13">
        <v>0.15</v>
      </c>
      <c r="G5" s="13">
        <v>0.4</v>
      </c>
      <c r="H5" s="33">
        <f>$C5*Assumptions!$B$8</f>
        <v>18000</v>
      </c>
      <c r="I5" s="33">
        <f>$C5*Assumptions!$B$9</f>
        <v>24000</v>
      </c>
      <c r="J5" s="33">
        <f>$C5*Assumptions!$B$10</f>
        <v>30000</v>
      </c>
      <c r="K5" s="35" t="s">
        <v>98</v>
      </c>
      <c r="L5" s="35" t="s">
        <v>104</v>
      </c>
      <c r="M5" s="35" t="s">
        <v>88</v>
      </c>
      <c r="N5" s="21" t="s">
        <v>234</v>
      </c>
      <c r="O5" s="22" t="s">
        <v>235</v>
      </c>
    </row>
    <row r="6" spans="1:15" x14ac:dyDescent="0.4">
      <c r="A6" s="16" t="s">
        <v>236</v>
      </c>
      <c r="B6" s="17" t="s">
        <v>237</v>
      </c>
      <c r="C6" s="34">
        <v>40000</v>
      </c>
      <c r="D6" s="11">
        <v>44</v>
      </c>
      <c r="E6" s="13">
        <v>0.1</v>
      </c>
      <c r="F6" s="13">
        <v>0.35</v>
      </c>
      <c r="G6" s="13">
        <v>0.35</v>
      </c>
      <c r="H6" s="28">
        <f>$C6*Assumptions!$B$8</f>
        <v>24000</v>
      </c>
      <c r="I6" s="28">
        <f>$C6*Assumptions!$B$9</f>
        <v>32000</v>
      </c>
      <c r="J6" s="28">
        <f>$C6*Assumptions!$B$10</f>
        <v>40000</v>
      </c>
      <c r="K6" s="35" t="s">
        <v>92</v>
      </c>
      <c r="L6" s="35" t="s">
        <v>104</v>
      </c>
      <c r="M6" s="35" t="s">
        <v>109</v>
      </c>
      <c r="N6" s="18" t="s">
        <v>238</v>
      </c>
      <c r="O6" s="19" t="s">
        <v>239</v>
      </c>
    </row>
    <row r="8" spans="1:15" x14ac:dyDescent="0.4">
      <c r="A8" s="8" t="s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78"/>
  <sheetViews>
    <sheetView workbookViewId="0">
      <pane xSplit="1" ySplit="21" topLeftCell="B22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6" customWidth="1"/>
    <col min="2" max="2" width="19" customWidth="1"/>
    <col min="3" max="3" width="9" customWidth="1"/>
    <col min="4" max="4" width="16" customWidth="1"/>
    <col min="5" max="5" width="11" customWidth="1"/>
    <col min="6" max="6" width="9" customWidth="1"/>
    <col min="7" max="9" width="11" customWidth="1"/>
    <col min="10" max="11" width="10" customWidth="1"/>
    <col min="12" max="14" width="8" customWidth="1"/>
    <col min="15" max="15" width="12" customWidth="1"/>
    <col min="16" max="16" width="9" customWidth="1"/>
    <col min="17" max="18" width="11" customWidth="1"/>
    <col min="19" max="19" width="12" customWidth="1"/>
    <col min="20" max="20" width="9" customWidth="1"/>
    <col min="21" max="21" width="12" customWidth="1"/>
    <col min="22" max="22" width="8" customWidth="1"/>
    <col min="23" max="23" width="12" customWidth="1"/>
    <col min="24" max="24" width="11" customWidth="1"/>
    <col min="25" max="27" width="10" customWidth="1"/>
    <col min="28" max="28" width="9" customWidth="1"/>
    <col min="29" max="29" width="15" customWidth="1"/>
    <col min="30" max="30" width="24" customWidth="1"/>
    <col min="31" max="31" width="12" customWidth="1"/>
  </cols>
  <sheetData>
    <row r="1" spans="1:3" ht="17.600000000000001" x14ac:dyDescent="0.4">
      <c r="A1" s="7" t="s">
        <v>241</v>
      </c>
    </row>
    <row r="2" spans="1:3" x14ac:dyDescent="0.4">
      <c r="A2" s="8" t="s">
        <v>242</v>
      </c>
    </row>
    <row r="3" spans="1:3" x14ac:dyDescent="0.4">
      <c r="A3" s="4" t="s">
        <v>243</v>
      </c>
      <c r="B3" s="36" t="s">
        <v>233</v>
      </c>
      <c r="C3" s="8" t="s">
        <v>244</v>
      </c>
    </row>
    <row r="4" spans="1:3" x14ac:dyDescent="0.4">
      <c r="A4" s="4" t="s">
        <v>215</v>
      </c>
      <c r="B4" s="33">
        <f>INDEX(Customers!$C$4:$C$6,MATCH($B$3,Customers!$B$4:$B$6,0))</f>
        <v>30000</v>
      </c>
    </row>
    <row r="5" spans="1:3" x14ac:dyDescent="0.4">
      <c r="A5" s="4" t="s">
        <v>245</v>
      </c>
      <c r="B5" s="33">
        <f>INDEX(Customers!$H$4:$H$6,MATCH($B$3,Customers!$B$4:$B$6,0))</f>
        <v>18000</v>
      </c>
    </row>
    <row r="6" spans="1:3" x14ac:dyDescent="0.4">
      <c r="A6" s="4" t="s">
        <v>246</v>
      </c>
      <c r="B6" s="33">
        <f>INDEX(Customers!$I$4:$I$6,MATCH($B$3,Customers!$B$4:$B$6,0))</f>
        <v>24000</v>
      </c>
    </row>
    <row r="7" spans="1:3" x14ac:dyDescent="0.4">
      <c r="A7" s="4" t="s">
        <v>247</v>
      </c>
      <c r="B7" s="33">
        <f>INDEX(Customers!$J$4:$J$6,MATCH($B$3,Customers!$B$4:$B$6,0))</f>
        <v>30000</v>
      </c>
    </row>
    <row r="8" spans="1:3" x14ac:dyDescent="0.4">
      <c r="A8" s="4" t="s">
        <v>216</v>
      </c>
      <c r="B8" s="29">
        <f>INDEX(Customers!$D$4:$D$6,MATCH($B$3,Customers!$B$4:$B$6,0))</f>
        <v>50</v>
      </c>
    </row>
    <row r="9" spans="1:3" x14ac:dyDescent="0.4">
      <c r="A9" s="4" t="s">
        <v>248</v>
      </c>
      <c r="B9" s="31">
        <f>INDEX(Customers!$E$4:$E$6,MATCH($B$3,Customers!$B$4:$B$6,0))</f>
        <v>0.3</v>
      </c>
    </row>
    <row r="10" spans="1:3" x14ac:dyDescent="0.4">
      <c r="A10" s="4" t="s">
        <v>249</v>
      </c>
      <c r="B10" s="31">
        <f>INDEX(Customers!$F$4:$F$6,MATCH($B$3,Customers!$B$4:$B$6,0))</f>
        <v>0.15</v>
      </c>
    </row>
    <row r="11" spans="1:3" x14ac:dyDescent="0.4">
      <c r="A11" s="4" t="s">
        <v>250</v>
      </c>
      <c r="B11" s="31">
        <f>INDEX(Customers!$G$4:$G$6,MATCH($B$3,Customers!$B$4:$B$6,0))</f>
        <v>0.4</v>
      </c>
    </row>
    <row r="12" spans="1:3" x14ac:dyDescent="0.4">
      <c r="A12" s="37" t="s">
        <v>251</v>
      </c>
      <c r="B12" s="38" t="str">
        <f>INDEX(Customers!$K$4:$K$6,MATCH($B$3,Customers!$B$4:$B$6,0))&amp;"  |  "&amp;INDEX(Customers!$L$4:$L$6,MATCH($B$3,Customers!$B$4:$B$6,0))&amp;"  |  "&amp;INDEX(Customers!$M$4:$M$6,MATCH($B$3,Customers!$B$4:$B$6,0))</f>
        <v>dont_need_extras  |  talk_to_spouse  |  price_objection</v>
      </c>
    </row>
    <row r="14" spans="1:3" x14ac:dyDescent="0.4">
      <c r="A14" s="2" t="s">
        <v>252</v>
      </c>
    </row>
    <row r="15" spans="1:3" x14ac:dyDescent="0.4">
      <c r="A15" s="4" t="s">
        <v>253</v>
      </c>
      <c r="B15" s="33">
        <f>MAX($AE$22:$AE$33)</f>
        <v>30000</v>
      </c>
    </row>
    <row r="16" spans="1:3" x14ac:dyDescent="0.4">
      <c r="A16" s="4" t="s">
        <v>254</v>
      </c>
      <c r="B16" s="30">
        <f>IFERROR($B$15/$B$4,0)</f>
        <v>1</v>
      </c>
    </row>
    <row r="17" spans="1:31" x14ac:dyDescent="0.4">
      <c r="A17" s="4" t="s">
        <v>255</v>
      </c>
      <c r="B17" s="10" t="str">
        <f>IF($B$15&gt;=$B$7,"MAX CLOSE - full commission + reward pick",IF($B$15&gt;=$B$6,"STRONG CLOSE",IF($B$15&gt;=$B$5,"SALE","NO DEAL - below threshold")))</f>
        <v>MAX CLOSE - full commission + reward pick</v>
      </c>
    </row>
    <row r="18" spans="1:31" x14ac:dyDescent="0.4">
      <c r="A18" s="4" t="s">
        <v>256</v>
      </c>
      <c r="B18" s="33">
        <f>IF($B$15&gt;=$B$7,$B$15*Assumptions!$B$11*Assumptions!$B$14,IF($B$15&gt;=$B$6,$B$15*Assumptions!$B$11*Assumptions!$B$13,IF($B$15&gt;=$B$5,$B$15*Assumptions!$B$11*Assumptions!$B$12,0)))</f>
        <v>5400</v>
      </c>
    </row>
    <row r="19" spans="1:31" x14ac:dyDescent="0.4">
      <c r="A19" s="4" t="s">
        <v>257</v>
      </c>
      <c r="B19" s="20" t="str">
        <f>IF(COUNTIF($X$22:$X$33,0)&gt;0,"YES - they walked. Anything you had not banked is gone.","No")</f>
        <v>YES - they walked. Anything you had not banked is gone.</v>
      </c>
    </row>
    <row r="21" spans="1:31" ht="24.9" x14ac:dyDescent="0.4">
      <c r="A21" s="9" t="s">
        <v>258</v>
      </c>
      <c r="B21" s="15" t="s">
        <v>259</v>
      </c>
      <c r="C21" s="15" t="s">
        <v>260</v>
      </c>
      <c r="D21" s="15" t="s">
        <v>83</v>
      </c>
      <c r="E21" s="15" t="s">
        <v>84</v>
      </c>
      <c r="F21" s="15" t="s">
        <v>261</v>
      </c>
      <c r="G21" s="15" t="s">
        <v>262</v>
      </c>
      <c r="H21" s="9" t="s">
        <v>263</v>
      </c>
      <c r="I21" s="9" t="s">
        <v>264</v>
      </c>
      <c r="J21" s="9" t="s">
        <v>265</v>
      </c>
      <c r="K21" s="9" t="s">
        <v>266</v>
      </c>
      <c r="L21" s="9" t="s">
        <v>267</v>
      </c>
      <c r="M21" s="9" t="s">
        <v>268</v>
      </c>
      <c r="N21" s="9" t="s">
        <v>269</v>
      </c>
      <c r="O21" s="15" t="s">
        <v>270</v>
      </c>
      <c r="P21" s="9" t="s">
        <v>271</v>
      </c>
      <c r="Q21" s="9" t="s">
        <v>272</v>
      </c>
      <c r="R21" s="15" t="s">
        <v>273</v>
      </c>
      <c r="S21" s="9" t="s">
        <v>274</v>
      </c>
      <c r="T21" s="9" t="s">
        <v>275</v>
      </c>
      <c r="U21" s="9" t="s">
        <v>124</v>
      </c>
      <c r="V21" s="9" t="s">
        <v>128</v>
      </c>
      <c r="W21" s="15" t="s">
        <v>276</v>
      </c>
      <c r="X21" s="9" t="s">
        <v>277</v>
      </c>
      <c r="Y21" s="9" t="s">
        <v>278</v>
      </c>
      <c r="Z21" s="9" t="s">
        <v>279</v>
      </c>
      <c r="AA21" s="9" t="s">
        <v>280</v>
      </c>
      <c r="AB21" s="9" t="s">
        <v>281</v>
      </c>
      <c r="AC21" s="15" t="s">
        <v>282</v>
      </c>
      <c r="AD21" s="9" t="s">
        <v>283</v>
      </c>
      <c r="AE21" s="9" t="s">
        <v>284</v>
      </c>
    </row>
    <row r="22" spans="1:31" x14ac:dyDescent="0.4">
      <c r="A22" s="39">
        <v>1</v>
      </c>
      <c r="B22" s="40" t="s">
        <v>104</v>
      </c>
      <c r="C22" s="41">
        <f>IFERROR(INDEX(Objections!$C$4:$C$8,MATCH($B22,Objections!$A$4:$A$8,0)),0)*(1+Assumptions!$B$16*($A22-1))</f>
        <v>4</v>
      </c>
      <c r="D22" s="21" t="str">
        <f>IFERROR(INDEX(Objections!$D$4:$D$8,MATCH($B22,Objections!$A$4:$A$8,0)),"")</f>
        <v>drain_energy</v>
      </c>
      <c r="E22" s="21" t="str">
        <f>IFERROR(INDEX(Objections!$E$4:$E$8,MATCH($B22,Objections!$A$4:$A$8,0)),"")</f>
        <v>-</v>
      </c>
      <c r="F22" s="42">
        <f>IFERROR(INDEX(Objections!$F$4:$F$8,MATCH($B22,Objections!$A$4:$A$8,0)),0)</f>
        <v>1</v>
      </c>
      <c r="G22" s="32" t="str">
        <f t="shared" ref="G22:G33" si="0">IF($B22="","-",IF(COUNTIFS($A$37:$A$76,$A22,$I$37:$I$76,$B22)&gt;0,"YES","NO"))</f>
        <v>NO</v>
      </c>
      <c r="H22" s="29">
        <f>Assumptions!$B$4</f>
        <v>3</v>
      </c>
      <c r="I22" s="29">
        <f t="shared" ref="I22:I33" si="1">SUMIFS($F$37:$F$76,$A$37:$A$76,$A22)</f>
        <v>2</v>
      </c>
      <c r="J22" s="21" t="str">
        <f t="shared" ref="J22:J33" si="2">IF($I22&gt;$H22,"OVER!","OK")</f>
        <v>OK</v>
      </c>
      <c r="K22" s="29">
        <f t="shared" ref="K22:K33" si="3">IF(COUNTIFS($A$37:$A$76,$A22,$B$37:$B$76,"bide_your_time")&gt;0,MAX(0,$H22-$I22),0)</f>
        <v>0</v>
      </c>
      <c r="L22" s="31">
        <f>$B$9</f>
        <v>0.3</v>
      </c>
      <c r="M22" s="31">
        <f>$B$10</f>
        <v>0.15</v>
      </c>
      <c r="N22" s="31">
        <f>$B$11</f>
        <v>0.4</v>
      </c>
      <c r="O22" s="43"/>
      <c r="P22" s="42">
        <v>1</v>
      </c>
      <c r="Q22" s="33">
        <f t="shared" ref="Q22:Q33" si="4">SUMIFS($Q$37:$Q$76,$A$37:$A$76,$A22)</f>
        <v>2886.3449999999993</v>
      </c>
      <c r="R22" s="33">
        <f>IF(AND($D22="shave_value",$G22="NO"),0*$F22,0)</f>
        <v>0</v>
      </c>
      <c r="S22" s="44">
        <f>MIN($B$4,MAX(0,0+$Q22-$R22))</f>
        <v>2886.3449999999993</v>
      </c>
      <c r="T22" s="30">
        <f t="shared" ref="T22:T33" si="5">IFERROR($S22/$B$4,0)</f>
        <v>9.6211499999999978E-2</v>
      </c>
      <c r="U22" s="29">
        <f t="shared" ref="U22:U33" si="6">SUMIFS($G$37:$G$76,$A$37:$A$76,$A22)</f>
        <v>0</v>
      </c>
      <c r="V22" s="29">
        <f t="shared" ref="V22:V33" si="7">SUMIFS($H$37:$H$76,$A$37:$A$76,$A22)</f>
        <v>4</v>
      </c>
      <c r="W22" s="41">
        <f t="shared" ref="W22:W33" si="8">MAX(0,$C22-$V22)</f>
        <v>0</v>
      </c>
      <c r="X22" s="45">
        <f>MAX(0,MIN($B$8,$B$8-$U22-$W22-IF($A22&lt;=MAX($A$37:$A$76),Assumptions!$B$7,0)))</f>
        <v>48</v>
      </c>
      <c r="Y22" s="31">
        <f t="shared" ref="Y22:Y33" si="9">SUMIFS($J$37:$J$76,$A$37:$A$76,$A22,$E$37:$E$76,"vehicle")</f>
        <v>0</v>
      </c>
      <c r="Z22" s="31">
        <f t="shared" ref="Z22:Z33" si="10">SUMIFS($J$37:$J$76,$A$37:$A$76,$A22,$E$37:$E$76,"protection")</f>
        <v>0</v>
      </c>
      <c r="AA22" s="31">
        <f t="shared" ref="AA22:AA33" si="11">SUMIFS($J$37:$J$76,$A$37:$A$76,$A22,$E$37:$E$76,"financing")</f>
        <v>0.2</v>
      </c>
      <c r="AB22" s="31">
        <f t="shared" ref="AB22:AB33" si="12">SUMIFS($K$37:$K$76,$A$37:$A$76,$A22)</f>
        <v>0</v>
      </c>
      <c r="AC22" s="29">
        <f t="shared" ref="AC22:AC33" si="13">IF(AND($D22="drain_energy",$G22="NO"),$F22,0)</f>
        <v>1</v>
      </c>
      <c r="AD22" s="32" t="str">
        <f>IF($A22&gt;MAX($A$37:$A$76),"-",IF($S22&gt;=$B$7,"MAX CLOSE",IF($S22&gt;=$B$6,"STRONG CLOSE",IF($S22&gt;=$B$5,"SALE AVAILABLE","BUILDING")))&amp;IF($X22&lt;=0," / THEY WALKED",""))</f>
        <v>BUILDING</v>
      </c>
      <c r="AE22" s="33">
        <f>$S22</f>
        <v>2886.3449999999993</v>
      </c>
    </row>
    <row r="23" spans="1:31" x14ac:dyDescent="0.4">
      <c r="A23" s="46">
        <f t="shared" ref="A23:A33" si="14">$A22+1</f>
        <v>2</v>
      </c>
      <c r="B23" s="40" t="s">
        <v>98</v>
      </c>
      <c r="C23" s="47">
        <f>IFERROR(INDEX(Objections!$C$4:$C$8,MATCH($B23,Objections!$A$4:$A$8,0)),0)*(1+Assumptions!$B$16*($A23-1))</f>
        <v>6.8999999999999995</v>
      </c>
      <c r="D23" s="18" t="str">
        <f>IFERROR(INDEX(Objections!$D$4:$D$8,MATCH($B23,Objections!$A$4:$A$8,0)),"")</f>
        <v>lock_lane</v>
      </c>
      <c r="E23" s="18" t="str">
        <f>IFERROR(INDEX(Objections!$E$4:$E$8,MATCH($B23,Objections!$A$4:$A$8,0)),"")</f>
        <v>protection</v>
      </c>
      <c r="F23" s="48">
        <f>IFERROR(INDEX(Objections!$F$4:$F$8,MATCH($B23,Objections!$A$4:$A$8,0)),0)</f>
        <v>0</v>
      </c>
      <c r="G23" s="27" t="str">
        <f t="shared" si="0"/>
        <v>YES</v>
      </c>
      <c r="H23" s="24">
        <f>MAX(0,Assumptions!$B$4+$K22-$AC22)</f>
        <v>2</v>
      </c>
      <c r="I23" s="24">
        <f t="shared" si="1"/>
        <v>3</v>
      </c>
      <c r="J23" s="18" t="str">
        <f t="shared" si="2"/>
        <v>OVER!</v>
      </c>
      <c r="K23" s="24">
        <f t="shared" si="3"/>
        <v>0</v>
      </c>
      <c r="L23" s="26">
        <f t="shared" ref="L23:L33" si="15">MAX(0,MIN(0.95,$L22-$Y22+IF(AND($D22="raise_resistance",$E22="vehicle",$G22="NO"),$F22,0)))</f>
        <v>0.3</v>
      </c>
      <c r="M23" s="26">
        <f t="shared" ref="M23:M33" si="16">MAX(0,MIN(0.95,$M22-$Z22+IF(AND($D22="raise_resistance",$E22="protection",$G22="NO"),$F22,0)))</f>
        <v>0.15</v>
      </c>
      <c r="N23" s="26">
        <f t="shared" ref="N23:N33" si="17">MAX(0,MIN(0.95,$N22-$AA22+IF(AND($D22="raise_resistance",$E22="financing",$G22="NO"),$F22,0)))</f>
        <v>0.2</v>
      </c>
      <c r="O23" s="49" t="str">
        <f t="shared" ref="O23:O33" si="18">IF(AND($D22="lock_lane",$G22="NO"),$E22,"")</f>
        <v/>
      </c>
      <c r="P23" s="48">
        <f t="shared" ref="P23:P33" si="19">1+$AB22</f>
        <v>1</v>
      </c>
      <c r="Q23" s="28">
        <f t="shared" si="4"/>
        <v>5776.1549999999997</v>
      </c>
      <c r="R23" s="28">
        <f t="shared" ref="R23:R33" si="20">IF(AND($D23="shave_value",$G23="NO"),$S22*$F23,0)</f>
        <v>0</v>
      </c>
      <c r="S23" s="50">
        <f t="shared" ref="S23:S33" si="21">MIN($B$4,MAX(0,$S22+$Q23-$R23))</f>
        <v>8662.5</v>
      </c>
      <c r="T23" s="25">
        <f t="shared" si="5"/>
        <v>0.28875000000000001</v>
      </c>
      <c r="U23" s="24">
        <f t="shared" si="6"/>
        <v>3</v>
      </c>
      <c r="V23" s="24">
        <f t="shared" si="7"/>
        <v>4</v>
      </c>
      <c r="W23" s="47">
        <f t="shared" si="8"/>
        <v>2.8999999999999995</v>
      </c>
      <c r="X23" s="51">
        <f>MAX(0,MIN($B$8,$X22-$U23-$W23-IF($A23&lt;=MAX($A$37:$A$76),Assumptions!$B$7,0)))</f>
        <v>40.1</v>
      </c>
      <c r="Y23" s="26">
        <f t="shared" si="9"/>
        <v>0</v>
      </c>
      <c r="Z23" s="26">
        <f t="shared" si="10"/>
        <v>0</v>
      </c>
      <c r="AA23" s="26">
        <f t="shared" si="11"/>
        <v>0</v>
      </c>
      <c r="AB23" s="26">
        <f t="shared" si="12"/>
        <v>0</v>
      </c>
      <c r="AC23" s="24">
        <f t="shared" si="13"/>
        <v>0</v>
      </c>
      <c r="AD23" s="27" t="str">
        <f t="shared" ref="AD23:AD33" si="22">IF(OR($A23&gt;MAX($A$37:$A$76),$X22&lt;=0),"-",IF($S23&gt;=$B$7,"MAX CLOSE",IF($S23&gt;=$B$6,"STRONG CLOSE",IF($S23&gt;=$B$5,"SALE AVAILABLE","BUILDING")))&amp;IF($X23&lt;=0," / THEY WALKED",""))</f>
        <v>BUILDING</v>
      </c>
      <c r="AE23" s="28">
        <f t="shared" ref="AE23:AE33" si="23">IF($X22&gt;0,$S23,0)</f>
        <v>8662.5</v>
      </c>
    </row>
    <row r="24" spans="1:31" x14ac:dyDescent="0.4">
      <c r="A24" s="39">
        <f t="shared" si="14"/>
        <v>3</v>
      </c>
      <c r="B24" s="40" t="s">
        <v>88</v>
      </c>
      <c r="C24" s="41">
        <f>IFERROR(INDEX(Objections!$C$4:$C$8,MATCH($B24,Objections!$A$4:$A$8,0)),0)*(1+Assumptions!$B$16*($A24-1))</f>
        <v>13</v>
      </c>
      <c r="D24" s="21" t="str">
        <f>IFERROR(INDEX(Objections!$D$4:$D$8,MATCH($B24,Objections!$A$4:$A$8,0)),"")</f>
        <v>-</v>
      </c>
      <c r="E24" s="21" t="str">
        <f>IFERROR(INDEX(Objections!$E$4:$E$8,MATCH($B24,Objections!$A$4:$A$8,0)),"")</f>
        <v>-</v>
      </c>
      <c r="F24" s="42">
        <f>IFERROR(INDEX(Objections!$F$4:$F$8,MATCH($B24,Objections!$A$4:$A$8,0)),0)</f>
        <v>0</v>
      </c>
      <c r="G24" s="32" t="str">
        <f t="shared" si="0"/>
        <v>NO</v>
      </c>
      <c r="H24" s="29">
        <f>MAX(0,Assumptions!$B$4+$K23-$AC23)</f>
        <v>3</v>
      </c>
      <c r="I24" s="29">
        <f t="shared" si="1"/>
        <v>3</v>
      </c>
      <c r="J24" s="21" t="str">
        <f t="shared" si="2"/>
        <v>OK</v>
      </c>
      <c r="K24" s="29">
        <f t="shared" si="3"/>
        <v>0</v>
      </c>
      <c r="L24" s="31">
        <f t="shared" si="15"/>
        <v>0.3</v>
      </c>
      <c r="M24" s="31">
        <f t="shared" si="16"/>
        <v>0.15</v>
      </c>
      <c r="N24" s="31">
        <f t="shared" si="17"/>
        <v>0.2</v>
      </c>
      <c r="O24" s="43" t="str">
        <f t="shared" si="18"/>
        <v/>
      </c>
      <c r="P24" s="42">
        <f t="shared" si="19"/>
        <v>1</v>
      </c>
      <c r="Q24" s="33">
        <f t="shared" si="4"/>
        <v>5608.5974999999989</v>
      </c>
      <c r="R24" s="33">
        <f t="shared" si="20"/>
        <v>0</v>
      </c>
      <c r="S24" s="44">
        <f t="shared" si="21"/>
        <v>14271.0975</v>
      </c>
      <c r="T24" s="30">
        <f t="shared" si="5"/>
        <v>0.47570325000000002</v>
      </c>
      <c r="U24" s="29">
        <f t="shared" si="6"/>
        <v>4</v>
      </c>
      <c r="V24" s="29">
        <f t="shared" si="7"/>
        <v>10</v>
      </c>
      <c r="W24" s="41">
        <f t="shared" si="8"/>
        <v>3</v>
      </c>
      <c r="X24" s="45">
        <f>MAX(0,MIN($B$8,$X23-$U24-$W24-IF($A24&lt;=MAX($A$37:$A$76),Assumptions!$B$7,0)))</f>
        <v>31.1</v>
      </c>
      <c r="Y24" s="31">
        <f t="shared" si="9"/>
        <v>0</v>
      </c>
      <c r="Z24" s="31">
        <f t="shared" si="10"/>
        <v>0</v>
      </c>
      <c r="AA24" s="31">
        <f t="shared" si="11"/>
        <v>0</v>
      </c>
      <c r="AB24" s="31">
        <f t="shared" si="12"/>
        <v>0</v>
      </c>
      <c r="AC24" s="29">
        <f t="shared" si="13"/>
        <v>0</v>
      </c>
      <c r="AD24" s="32" t="str">
        <f t="shared" si="22"/>
        <v>BUILDING</v>
      </c>
      <c r="AE24" s="33">
        <f t="shared" si="23"/>
        <v>14271.0975</v>
      </c>
    </row>
    <row r="25" spans="1:31" x14ac:dyDescent="0.4">
      <c r="A25" s="46">
        <f t="shared" si="14"/>
        <v>4</v>
      </c>
      <c r="B25" s="40" t="s">
        <v>98</v>
      </c>
      <c r="C25" s="47">
        <f>IFERROR(INDEX(Objections!$C$4:$C$8,MATCH($B25,Objections!$A$4:$A$8,0)),0)*(1+Assumptions!$B$16*($A25-1))</f>
        <v>8.6999999999999993</v>
      </c>
      <c r="D25" s="18" t="str">
        <f>IFERROR(INDEX(Objections!$D$4:$D$8,MATCH($B25,Objections!$A$4:$A$8,0)),"")</f>
        <v>lock_lane</v>
      </c>
      <c r="E25" s="18" t="str">
        <f>IFERROR(INDEX(Objections!$E$4:$E$8,MATCH($B25,Objections!$A$4:$A$8,0)),"")</f>
        <v>protection</v>
      </c>
      <c r="F25" s="48">
        <f>IFERROR(INDEX(Objections!$F$4:$F$8,MATCH($B25,Objections!$A$4:$A$8,0)),0)</f>
        <v>0</v>
      </c>
      <c r="G25" s="27" t="str">
        <f t="shared" si="0"/>
        <v>YES</v>
      </c>
      <c r="H25" s="24">
        <f>MAX(0,Assumptions!$B$4+$K24-$AC24)</f>
        <v>3</v>
      </c>
      <c r="I25" s="24">
        <f t="shared" si="1"/>
        <v>2</v>
      </c>
      <c r="J25" s="18" t="str">
        <f t="shared" si="2"/>
        <v>OK</v>
      </c>
      <c r="K25" s="24">
        <f t="shared" si="3"/>
        <v>0</v>
      </c>
      <c r="L25" s="26">
        <f t="shared" si="15"/>
        <v>0.3</v>
      </c>
      <c r="M25" s="26">
        <f t="shared" si="16"/>
        <v>0.15</v>
      </c>
      <c r="N25" s="26">
        <f t="shared" si="17"/>
        <v>0.2</v>
      </c>
      <c r="O25" s="49" t="str">
        <f t="shared" si="18"/>
        <v/>
      </c>
      <c r="P25" s="48">
        <f t="shared" si="19"/>
        <v>1</v>
      </c>
      <c r="Q25" s="28">
        <f t="shared" si="4"/>
        <v>2641.3199999999997</v>
      </c>
      <c r="R25" s="28">
        <f t="shared" si="20"/>
        <v>0</v>
      </c>
      <c r="S25" s="50">
        <f t="shared" si="21"/>
        <v>16912.4175</v>
      </c>
      <c r="T25" s="25">
        <f t="shared" si="5"/>
        <v>0.56374725000000003</v>
      </c>
      <c r="U25" s="24">
        <f t="shared" si="6"/>
        <v>5</v>
      </c>
      <c r="V25" s="24">
        <f t="shared" si="7"/>
        <v>4</v>
      </c>
      <c r="W25" s="47">
        <f t="shared" si="8"/>
        <v>4.6999999999999993</v>
      </c>
      <c r="X25" s="51">
        <f>MAX(0,MIN($B$8,$X24-$U25-$W25-IF($A25&lt;=MAX($A$37:$A$76),Assumptions!$B$7,0)))</f>
        <v>19.400000000000002</v>
      </c>
      <c r="Y25" s="26">
        <f t="shared" si="9"/>
        <v>0</v>
      </c>
      <c r="Z25" s="26">
        <f t="shared" si="10"/>
        <v>0</v>
      </c>
      <c r="AA25" s="26">
        <f t="shared" si="11"/>
        <v>0</v>
      </c>
      <c r="AB25" s="26">
        <f t="shared" si="12"/>
        <v>0</v>
      </c>
      <c r="AC25" s="24">
        <f t="shared" si="13"/>
        <v>0</v>
      </c>
      <c r="AD25" s="27" t="str">
        <f t="shared" si="22"/>
        <v>BUILDING</v>
      </c>
      <c r="AE25" s="28">
        <f t="shared" si="23"/>
        <v>16912.4175</v>
      </c>
    </row>
    <row r="26" spans="1:31" x14ac:dyDescent="0.4">
      <c r="A26" s="39">
        <f t="shared" si="14"/>
        <v>5</v>
      </c>
      <c r="B26" s="40" t="s">
        <v>88</v>
      </c>
      <c r="C26" s="41">
        <f>IFERROR(INDEX(Objections!$C$4:$C$8,MATCH($B26,Objections!$A$4:$A$8,0)),0)*(1+Assumptions!$B$16*($A26-1))</f>
        <v>16</v>
      </c>
      <c r="D26" s="21" t="str">
        <f>IFERROR(INDEX(Objections!$D$4:$D$8,MATCH($B26,Objections!$A$4:$A$8,0)),"")</f>
        <v>-</v>
      </c>
      <c r="E26" s="21" t="str">
        <f>IFERROR(INDEX(Objections!$E$4:$E$8,MATCH($B26,Objections!$A$4:$A$8,0)),"")</f>
        <v>-</v>
      </c>
      <c r="F26" s="42">
        <f>IFERROR(INDEX(Objections!$F$4:$F$8,MATCH($B26,Objections!$A$4:$A$8,0)),0)</f>
        <v>0</v>
      </c>
      <c r="G26" s="32" t="str">
        <f t="shared" si="0"/>
        <v>NO</v>
      </c>
      <c r="H26" s="29">
        <f>MAX(0,Assumptions!$B$4+$K25-$AC25)</f>
        <v>3</v>
      </c>
      <c r="I26" s="29">
        <f t="shared" si="1"/>
        <v>3</v>
      </c>
      <c r="J26" s="21" t="str">
        <f t="shared" si="2"/>
        <v>OK</v>
      </c>
      <c r="K26" s="29">
        <f t="shared" si="3"/>
        <v>0</v>
      </c>
      <c r="L26" s="31">
        <f t="shared" si="15"/>
        <v>0.3</v>
      </c>
      <c r="M26" s="31">
        <f t="shared" si="16"/>
        <v>0.15</v>
      </c>
      <c r="N26" s="31">
        <f t="shared" si="17"/>
        <v>0.2</v>
      </c>
      <c r="O26" s="43" t="str">
        <f t="shared" si="18"/>
        <v/>
      </c>
      <c r="P26" s="42">
        <f t="shared" si="19"/>
        <v>1</v>
      </c>
      <c r="Q26" s="33">
        <f t="shared" si="4"/>
        <v>5017.32</v>
      </c>
      <c r="R26" s="33">
        <f t="shared" si="20"/>
        <v>0</v>
      </c>
      <c r="S26" s="44">
        <f t="shared" si="21"/>
        <v>21929.737499999999</v>
      </c>
      <c r="T26" s="30">
        <f t="shared" si="5"/>
        <v>0.73099124999999998</v>
      </c>
      <c r="U26" s="29">
        <f t="shared" si="6"/>
        <v>3</v>
      </c>
      <c r="V26" s="29">
        <f t="shared" si="7"/>
        <v>10</v>
      </c>
      <c r="W26" s="41">
        <f t="shared" si="8"/>
        <v>6</v>
      </c>
      <c r="X26" s="45">
        <f>MAX(0,MIN($B$8,$X25-$U26-$W26-IF($A26&lt;=MAX($A$37:$A$76),Assumptions!$B$7,0)))</f>
        <v>8.4000000000000021</v>
      </c>
      <c r="Y26" s="31">
        <f t="shared" si="9"/>
        <v>0</v>
      </c>
      <c r="Z26" s="31">
        <f t="shared" si="10"/>
        <v>0</v>
      </c>
      <c r="AA26" s="31">
        <f t="shared" si="11"/>
        <v>0</v>
      </c>
      <c r="AB26" s="31">
        <f t="shared" si="12"/>
        <v>0</v>
      </c>
      <c r="AC26" s="29">
        <f t="shared" si="13"/>
        <v>0</v>
      </c>
      <c r="AD26" s="32" t="str">
        <f t="shared" si="22"/>
        <v>SALE AVAILABLE</v>
      </c>
      <c r="AE26" s="33">
        <f t="shared" si="23"/>
        <v>21929.737499999999</v>
      </c>
    </row>
    <row r="27" spans="1:31" x14ac:dyDescent="0.4">
      <c r="A27" s="46">
        <f t="shared" si="14"/>
        <v>6</v>
      </c>
      <c r="B27" s="40" t="s">
        <v>104</v>
      </c>
      <c r="C27" s="47">
        <f>IFERROR(INDEX(Objections!$C$4:$C$8,MATCH($B27,Objections!$A$4:$A$8,0)),0)*(1+Assumptions!$B$16*($A27-1))</f>
        <v>7</v>
      </c>
      <c r="D27" s="18" t="str">
        <f>IFERROR(INDEX(Objections!$D$4:$D$8,MATCH($B27,Objections!$A$4:$A$8,0)),"")</f>
        <v>drain_energy</v>
      </c>
      <c r="E27" s="18" t="str">
        <f>IFERROR(INDEX(Objections!$E$4:$E$8,MATCH($B27,Objections!$A$4:$A$8,0)),"")</f>
        <v>-</v>
      </c>
      <c r="F27" s="48">
        <f>IFERROR(INDEX(Objections!$F$4:$F$8,MATCH($B27,Objections!$A$4:$A$8,0)),0)</f>
        <v>1</v>
      </c>
      <c r="G27" s="27" t="str">
        <f t="shared" si="0"/>
        <v>NO</v>
      </c>
      <c r="H27" s="24">
        <f>MAX(0,Assumptions!$B$4+$K26-$AC26)</f>
        <v>3</v>
      </c>
      <c r="I27" s="24">
        <f t="shared" si="1"/>
        <v>3</v>
      </c>
      <c r="J27" s="18" t="str">
        <f t="shared" si="2"/>
        <v>OK</v>
      </c>
      <c r="K27" s="24">
        <f t="shared" si="3"/>
        <v>0</v>
      </c>
      <c r="L27" s="26">
        <f t="shared" si="15"/>
        <v>0.3</v>
      </c>
      <c r="M27" s="26">
        <f t="shared" si="16"/>
        <v>0.15</v>
      </c>
      <c r="N27" s="26">
        <f t="shared" si="17"/>
        <v>0.2</v>
      </c>
      <c r="O27" s="49" t="str">
        <f t="shared" si="18"/>
        <v/>
      </c>
      <c r="P27" s="48">
        <f t="shared" si="19"/>
        <v>1</v>
      </c>
      <c r="Q27" s="28">
        <f t="shared" si="4"/>
        <v>10014.0975</v>
      </c>
      <c r="R27" s="28">
        <f t="shared" si="20"/>
        <v>0</v>
      </c>
      <c r="S27" s="50">
        <f t="shared" si="21"/>
        <v>30000</v>
      </c>
      <c r="T27" s="25">
        <f t="shared" si="5"/>
        <v>1</v>
      </c>
      <c r="U27" s="24">
        <f t="shared" si="6"/>
        <v>10</v>
      </c>
      <c r="V27" s="24">
        <f t="shared" si="7"/>
        <v>4</v>
      </c>
      <c r="W27" s="47">
        <f t="shared" si="8"/>
        <v>3</v>
      </c>
      <c r="X27" s="51">
        <f>MAX(0,MIN($B$8,$X26-$U27-$W27-IF($A27&lt;=MAX($A$37:$A$76),Assumptions!$B$7,0)))</f>
        <v>0</v>
      </c>
      <c r="Y27" s="26">
        <f t="shared" si="9"/>
        <v>0</v>
      </c>
      <c r="Z27" s="26">
        <f t="shared" si="10"/>
        <v>0</v>
      </c>
      <c r="AA27" s="26">
        <f t="shared" si="11"/>
        <v>0</v>
      </c>
      <c r="AB27" s="26">
        <f t="shared" si="12"/>
        <v>0</v>
      </c>
      <c r="AC27" s="24">
        <f t="shared" si="13"/>
        <v>1</v>
      </c>
      <c r="AD27" s="27" t="str">
        <f t="shared" si="22"/>
        <v>MAX CLOSE / THEY WALKED</v>
      </c>
      <c r="AE27" s="28">
        <f t="shared" si="23"/>
        <v>30000</v>
      </c>
    </row>
    <row r="28" spans="1:31" x14ac:dyDescent="0.4">
      <c r="A28" s="39">
        <f t="shared" si="14"/>
        <v>7</v>
      </c>
      <c r="B28" s="40"/>
      <c r="C28" s="41">
        <f>IFERROR(INDEX(Objections!$C$4:$C$8,MATCH($B28,Objections!$A$4:$A$8,0)),0)*(1+Assumptions!$B$16*($A28-1))</f>
        <v>0</v>
      </c>
      <c r="D28" s="21" t="str">
        <f>IFERROR(INDEX(Objections!$D$4:$D$8,MATCH($B28,Objections!$A$4:$A$8,0)),"")</f>
        <v/>
      </c>
      <c r="E28" s="21" t="str">
        <f>IFERROR(INDEX(Objections!$E$4:$E$8,MATCH($B28,Objections!$A$4:$A$8,0)),"")</f>
        <v/>
      </c>
      <c r="F28" s="42">
        <f>IFERROR(INDEX(Objections!$F$4:$F$8,MATCH($B28,Objections!$A$4:$A$8,0)),0)</f>
        <v>0</v>
      </c>
      <c r="G28" s="32" t="str">
        <f t="shared" si="0"/>
        <v>-</v>
      </c>
      <c r="H28" s="29">
        <f>MAX(0,Assumptions!$B$4+$K27-$AC27)</f>
        <v>2</v>
      </c>
      <c r="I28" s="29">
        <f t="shared" si="1"/>
        <v>0</v>
      </c>
      <c r="J28" s="21" t="str">
        <f t="shared" si="2"/>
        <v>OK</v>
      </c>
      <c r="K28" s="29">
        <f t="shared" si="3"/>
        <v>0</v>
      </c>
      <c r="L28" s="31">
        <f t="shared" si="15"/>
        <v>0.3</v>
      </c>
      <c r="M28" s="31">
        <f t="shared" si="16"/>
        <v>0.15</v>
      </c>
      <c r="N28" s="31">
        <f t="shared" si="17"/>
        <v>0.2</v>
      </c>
      <c r="O28" s="43" t="str">
        <f t="shared" si="18"/>
        <v/>
      </c>
      <c r="P28" s="42">
        <f t="shared" si="19"/>
        <v>1</v>
      </c>
      <c r="Q28" s="33">
        <f t="shared" si="4"/>
        <v>0</v>
      </c>
      <c r="R28" s="33">
        <f t="shared" si="20"/>
        <v>0</v>
      </c>
      <c r="S28" s="44">
        <f t="shared" si="21"/>
        <v>30000</v>
      </c>
      <c r="T28" s="30">
        <f t="shared" si="5"/>
        <v>1</v>
      </c>
      <c r="U28" s="29">
        <f t="shared" si="6"/>
        <v>0</v>
      </c>
      <c r="V28" s="29">
        <f t="shared" si="7"/>
        <v>0</v>
      </c>
      <c r="W28" s="41">
        <f t="shared" si="8"/>
        <v>0</v>
      </c>
      <c r="X28" s="45">
        <f>MAX(0,MIN($B$8,$X27-$U28-$W28-IF($A28&lt;=MAX($A$37:$A$76),Assumptions!$B$7,0)))</f>
        <v>0</v>
      </c>
      <c r="Y28" s="31">
        <f t="shared" si="9"/>
        <v>0</v>
      </c>
      <c r="Z28" s="31">
        <f t="shared" si="10"/>
        <v>0</v>
      </c>
      <c r="AA28" s="31">
        <f t="shared" si="11"/>
        <v>0</v>
      </c>
      <c r="AB28" s="31">
        <f t="shared" si="12"/>
        <v>0</v>
      </c>
      <c r="AC28" s="29">
        <f t="shared" si="13"/>
        <v>0</v>
      </c>
      <c r="AD28" s="32" t="str">
        <f t="shared" si="22"/>
        <v>-</v>
      </c>
      <c r="AE28" s="33">
        <f t="shared" si="23"/>
        <v>0</v>
      </c>
    </row>
    <row r="29" spans="1:31" x14ac:dyDescent="0.4">
      <c r="A29" s="46">
        <f t="shared" si="14"/>
        <v>8</v>
      </c>
      <c r="B29" s="40"/>
      <c r="C29" s="47">
        <f>IFERROR(INDEX(Objections!$C$4:$C$8,MATCH($B29,Objections!$A$4:$A$8,0)),0)*(1+Assumptions!$B$16*($A29-1))</f>
        <v>0</v>
      </c>
      <c r="D29" s="18" t="str">
        <f>IFERROR(INDEX(Objections!$D$4:$D$8,MATCH($B29,Objections!$A$4:$A$8,0)),"")</f>
        <v/>
      </c>
      <c r="E29" s="18" t="str">
        <f>IFERROR(INDEX(Objections!$E$4:$E$8,MATCH($B29,Objections!$A$4:$A$8,0)),"")</f>
        <v/>
      </c>
      <c r="F29" s="48">
        <f>IFERROR(INDEX(Objections!$F$4:$F$8,MATCH($B29,Objections!$A$4:$A$8,0)),0)</f>
        <v>0</v>
      </c>
      <c r="G29" s="27" t="str">
        <f t="shared" si="0"/>
        <v>-</v>
      </c>
      <c r="H29" s="24">
        <f>MAX(0,Assumptions!$B$4+$K28-$AC28)</f>
        <v>3</v>
      </c>
      <c r="I29" s="24">
        <f t="shared" si="1"/>
        <v>0</v>
      </c>
      <c r="J29" s="18" t="str">
        <f t="shared" si="2"/>
        <v>OK</v>
      </c>
      <c r="K29" s="24">
        <f t="shared" si="3"/>
        <v>0</v>
      </c>
      <c r="L29" s="26">
        <f t="shared" si="15"/>
        <v>0.3</v>
      </c>
      <c r="M29" s="26">
        <f t="shared" si="16"/>
        <v>0.15</v>
      </c>
      <c r="N29" s="26">
        <f t="shared" si="17"/>
        <v>0.2</v>
      </c>
      <c r="O29" s="49" t="str">
        <f t="shared" si="18"/>
        <v/>
      </c>
      <c r="P29" s="48">
        <f t="shared" si="19"/>
        <v>1</v>
      </c>
      <c r="Q29" s="28">
        <f t="shared" si="4"/>
        <v>0</v>
      </c>
      <c r="R29" s="28">
        <f t="shared" si="20"/>
        <v>0</v>
      </c>
      <c r="S29" s="50">
        <f t="shared" si="21"/>
        <v>30000</v>
      </c>
      <c r="T29" s="25">
        <f t="shared" si="5"/>
        <v>1</v>
      </c>
      <c r="U29" s="24">
        <f t="shared" si="6"/>
        <v>0</v>
      </c>
      <c r="V29" s="24">
        <f t="shared" si="7"/>
        <v>0</v>
      </c>
      <c r="W29" s="47">
        <f t="shared" si="8"/>
        <v>0</v>
      </c>
      <c r="X29" s="51">
        <f>MAX(0,MIN($B$8,$X28-$U29-$W29-IF($A29&lt;=MAX($A$37:$A$76),Assumptions!$B$7,0)))</f>
        <v>0</v>
      </c>
      <c r="Y29" s="26">
        <f t="shared" si="9"/>
        <v>0</v>
      </c>
      <c r="Z29" s="26">
        <f t="shared" si="10"/>
        <v>0</v>
      </c>
      <c r="AA29" s="26">
        <f t="shared" si="11"/>
        <v>0</v>
      </c>
      <c r="AB29" s="26">
        <f t="shared" si="12"/>
        <v>0</v>
      </c>
      <c r="AC29" s="24">
        <f t="shared" si="13"/>
        <v>0</v>
      </c>
      <c r="AD29" s="27" t="str">
        <f t="shared" si="22"/>
        <v>-</v>
      </c>
      <c r="AE29" s="28">
        <f t="shared" si="23"/>
        <v>0</v>
      </c>
    </row>
    <row r="30" spans="1:31" x14ac:dyDescent="0.4">
      <c r="A30" s="39">
        <f t="shared" si="14"/>
        <v>9</v>
      </c>
      <c r="B30" s="40"/>
      <c r="C30" s="41">
        <f>IFERROR(INDEX(Objections!$C$4:$C$8,MATCH($B30,Objections!$A$4:$A$8,0)),0)*(1+Assumptions!$B$16*($A30-1))</f>
        <v>0</v>
      </c>
      <c r="D30" s="21" t="str">
        <f>IFERROR(INDEX(Objections!$D$4:$D$8,MATCH($B30,Objections!$A$4:$A$8,0)),"")</f>
        <v/>
      </c>
      <c r="E30" s="21" t="str">
        <f>IFERROR(INDEX(Objections!$E$4:$E$8,MATCH($B30,Objections!$A$4:$A$8,0)),"")</f>
        <v/>
      </c>
      <c r="F30" s="42">
        <f>IFERROR(INDEX(Objections!$F$4:$F$8,MATCH($B30,Objections!$A$4:$A$8,0)),0)</f>
        <v>0</v>
      </c>
      <c r="G30" s="32" t="str">
        <f t="shared" si="0"/>
        <v>-</v>
      </c>
      <c r="H30" s="29">
        <f>MAX(0,Assumptions!$B$4+$K29-$AC29)</f>
        <v>3</v>
      </c>
      <c r="I30" s="29">
        <f t="shared" si="1"/>
        <v>0</v>
      </c>
      <c r="J30" s="21" t="str">
        <f t="shared" si="2"/>
        <v>OK</v>
      </c>
      <c r="K30" s="29">
        <f t="shared" si="3"/>
        <v>0</v>
      </c>
      <c r="L30" s="31">
        <f t="shared" si="15"/>
        <v>0.3</v>
      </c>
      <c r="M30" s="31">
        <f t="shared" si="16"/>
        <v>0.15</v>
      </c>
      <c r="N30" s="31">
        <f t="shared" si="17"/>
        <v>0.2</v>
      </c>
      <c r="O30" s="43" t="str">
        <f t="shared" si="18"/>
        <v/>
      </c>
      <c r="P30" s="42">
        <f t="shared" si="19"/>
        <v>1</v>
      </c>
      <c r="Q30" s="33">
        <f t="shared" si="4"/>
        <v>0</v>
      </c>
      <c r="R30" s="33">
        <f t="shared" si="20"/>
        <v>0</v>
      </c>
      <c r="S30" s="44">
        <f t="shared" si="21"/>
        <v>30000</v>
      </c>
      <c r="T30" s="30">
        <f t="shared" si="5"/>
        <v>1</v>
      </c>
      <c r="U30" s="29">
        <f t="shared" si="6"/>
        <v>0</v>
      </c>
      <c r="V30" s="29">
        <f t="shared" si="7"/>
        <v>0</v>
      </c>
      <c r="W30" s="41">
        <f t="shared" si="8"/>
        <v>0</v>
      </c>
      <c r="X30" s="45">
        <f>MAX(0,MIN($B$8,$X29-$U30-$W30-IF($A30&lt;=MAX($A$37:$A$76),Assumptions!$B$7,0)))</f>
        <v>0</v>
      </c>
      <c r="Y30" s="31">
        <f t="shared" si="9"/>
        <v>0</v>
      </c>
      <c r="Z30" s="31">
        <f t="shared" si="10"/>
        <v>0</v>
      </c>
      <c r="AA30" s="31">
        <f t="shared" si="11"/>
        <v>0</v>
      </c>
      <c r="AB30" s="31">
        <f t="shared" si="12"/>
        <v>0</v>
      </c>
      <c r="AC30" s="29">
        <f t="shared" si="13"/>
        <v>0</v>
      </c>
      <c r="AD30" s="32" t="str">
        <f t="shared" si="22"/>
        <v>-</v>
      </c>
      <c r="AE30" s="33">
        <f t="shared" si="23"/>
        <v>0</v>
      </c>
    </row>
    <row r="31" spans="1:31" x14ac:dyDescent="0.4">
      <c r="A31" s="46">
        <f t="shared" si="14"/>
        <v>10</v>
      </c>
      <c r="B31" s="40"/>
      <c r="C31" s="47">
        <f>IFERROR(INDEX(Objections!$C$4:$C$8,MATCH($B31,Objections!$A$4:$A$8,0)),0)*(1+Assumptions!$B$16*($A31-1))</f>
        <v>0</v>
      </c>
      <c r="D31" s="18" t="str">
        <f>IFERROR(INDEX(Objections!$D$4:$D$8,MATCH($B31,Objections!$A$4:$A$8,0)),"")</f>
        <v/>
      </c>
      <c r="E31" s="18" t="str">
        <f>IFERROR(INDEX(Objections!$E$4:$E$8,MATCH($B31,Objections!$A$4:$A$8,0)),"")</f>
        <v/>
      </c>
      <c r="F31" s="48">
        <f>IFERROR(INDEX(Objections!$F$4:$F$8,MATCH($B31,Objections!$A$4:$A$8,0)),0)</f>
        <v>0</v>
      </c>
      <c r="G31" s="27" t="str">
        <f t="shared" si="0"/>
        <v>-</v>
      </c>
      <c r="H31" s="24">
        <f>MAX(0,Assumptions!$B$4+$K30-$AC30)</f>
        <v>3</v>
      </c>
      <c r="I31" s="24">
        <f t="shared" si="1"/>
        <v>0</v>
      </c>
      <c r="J31" s="18" t="str">
        <f t="shared" si="2"/>
        <v>OK</v>
      </c>
      <c r="K31" s="24">
        <f t="shared" si="3"/>
        <v>0</v>
      </c>
      <c r="L31" s="26">
        <f t="shared" si="15"/>
        <v>0.3</v>
      </c>
      <c r="M31" s="26">
        <f t="shared" si="16"/>
        <v>0.15</v>
      </c>
      <c r="N31" s="26">
        <f t="shared" si="17"/>
        <v>0.2</v>
      </c>
      <c r="O31" s="49" t="str">
        <f t="shared" si="18"/>
        <v/>
      </c>
      <c r="P31" s="48">
        <f t="shared" si="19"/>
        <v>1</v>
      </c>
      <c r="Q31" s="28">
        <f t="shared" si="4"/>
        <v>0</v>
      </c>
      <c r="R31" s="28">
        <f t="shared" si="20"/>
        <v>0</v>
      </c>
      <c r="S31" s="50">
        <f t="shared" si="21"/>
        <v>30000</v>
      </c>
      <c r="T31" s="25">
        <f t="shared" si="5"/>
        <v>1</v>
      </c>
      <c r="U31" s="24">
        <f t="shared" si="6"/>
        <v>0</v>
      </c>
      <c r="V31" s="24">
        <f t="shared" si="7"/>
        <v>0</v>
      </c>
      <c r="W31" s="47">
        <f t="shared" si="8"/>
        <v>0</v>
      </c>
      <c r="X31" s="51">
        <f>MAX(0,MIN($B$8,$X30-$U31-$W31-IF($A31&lt;=MAX($A$37:$A$76),Assumptions!$B$7,0)))</f>
        <v>0</v>
      </c>
      <c r="Y31" s="26">
        <f t="shared" si="9"/>
        <v>0</v>
      </c>
      <c r="Z31" s="26">
        <f t="shared" si="10"/>
        <v>0</v>
      </c>
      <c r="AA31" s="26">
        <f t="shared" si="11"/>
        <v>0</v>
      </c>
      <c r="AB31" s="26">
        <f t="shared" si="12"/>
        <v>0</v>
      </c>
      <c r="AC31" s="24">
        <f t="shared" si="13"/>
        <v>0</v>
      </c>
      <c r="AD31" s="27" t="str">
        <f t="shared" si="22"/>
        <v>-</v>
      </c>
      <c r="AE31" s="28">
        <f t="shared" si="23"/>
        <v>0</v>
      </c>
    </row>
    <row r="32" spans="1:31" x14ac:dyDescent="0.4">
      <c r="A32" s="39">
        <f t="shared" si="14"/>
        <v>11</v>
      </c>
      <c r="B32" s="40"/>
      <c r="C32" s="41">
        <f>IFERROR(INDEX(Objections!$C$4:$C$8,MATCH($B32,Objections!$A$4:$A$8,0)),0)*(1+Assumptions!$B$16*($A32-1))</f>
        <v>0</v>
      </c>
      <c r="D32" s="21" t="str">
        <f>IFERROR(INDEX(Objections!$D$4:$D$8,MATCH($B32,Objections!$A$4:$A$8,0)),"")</f>
        <v/>
      </c>
      <c r="E32" s="21" t="str">
        <f>IFERROR(INDEX(Objections!$E$4:$E$8,MATCH($B32,Objections!$A$4:$A$8,0)),"")</f>
        <v/>
      </c>
      <c r="F32" s="42">
        <f>IFERROR(INDEX(Objections!$F$4:$F$8,MATCH($B32,Objections!$A$4:$A$8,0)),0)</f>
        <v>0</v>
      </c>
      <c r="G32" s="32" t="str">
        <f t="shared" si="0"/>
        <v>-</v>
      </c>
      <c r="H32" s="29">
        <f>MAX(0,Assumptions!$B$4+$K31-$AC31)</f>
        <v>3</v>
      </c>
      <c r="I32" s="29">
        <f t="shared" si="1"/>
        <v>0</v>
      </c>
      <c r="J32" s="21" t="str">
        <f t="shared" si="2"/>
        <v>OK</v>
      </c>
      <c r="K32" s="29">
        <f t="shared" si="3"/>
        <v>0</v>
      </c>
      <c r="L32" s="31">
        <f t="shared" si="15"/>
        <v>0.3</v>
      </c>
      <c r="M32" s="31">
        <f t="shared" si="16"/>
        <v>0.15</v>
      </c>
      <c r="N32" s="31">
        <f t="shared" si="17"/>
        <v>0.2</v>
      </c>
      <c r="O32" s="43" t="str">
        <f t="shared" si="18"/>
        <v/>
      </c>
      <c r="P32" s="42">
        <f t="shared" si="19"/>
        <v>1</v>
      </c>
      <c r="Q32" s="33">
        <f t="shared" si="4"/>
        <v>0</v>
      </c>
      <c r="R32" s="33">
        <f t="shared" si="20"/>
        <v>0</v>
      </c>
      <c r="S32" s="44">
        <f t="shared" si="21"/>
        <v>30000</v>
      </c>
      <c r="T32" s="30">
        <f t="shared" si="5"/>
        <v>1</v>
      </c>
      <c r="U32" s="29">
        <f t="shared" si="6"/>
        <v>0</v>
      </c>
      <c r="V32" s="29">
        <f t="shared" si="7"/>
        <v>0</v>
      </c>
      <c r="W32" s="41">
        <f t="shared" si="8"/>
        <v>0</v>
      </c>
      <c r="X32" s="45">
        <f>MAX(0,MIN($B$8,$X31-$U32-$W32-IF($A32&lt;=MAX($A$37:$A$76),Assumptions!$B$7,0)))</f>
        <v>0</v>
      </c>
      <c r="Y32" s="31">
        <f t="shared" si="9"/>
        <v>0</v>
      </c>
      <c r="Z32" s="31">
        <f t="shared" si="10"/>
        <v>0</v>
      </c>
      <c r="AA32" s="31">
        <f t="shared" si="11"/>
        <v>0</v>
      </c>
      <c r="AB32" s="31">
        <f t="shared" si="12"/>
        <v>0</v>
      </c>
      <c r="AC32" s="29">
        <f t="shared" si="13"/>
        <v>0</v>
      </c>
      <c r="AD32" s="32" t="str">
        <f t="shared" si="22"/>
        <v>-</v>
      </c>
      <c r="AE32" s="33">
        <f t="shared" si="23"/>
        <v>0</v>
      </c>
    </row>
    <row r="33" spans="1:31" x14ac:dyDescent="0.4">
      <c r="A33" s="46">
        <f t="shared" si="14"/>
        <v>12</v>
      </c>
      <c r="B33" s="40"/>
      <c r="C33" s="47">
        <f>IFERROR(INDEX(Objections!$C$4:$C$8,MATCH($B33,Objections!$A$4:$A$8,0)),0)*(1+Assumptions!$B$16*($A33-1))</f>
        <v>0</v>
      </c>
      <c r="D33" s="18" t="str">
        <f>IFERROR(INDEX(Objections!$D$4:$D$8,MATCH($B33,Objections!$A$4:$A$8,0)),"")</f>
        <v/>
      </c>
      <c r="E33" s="18" t="str">
        <f>IFERROR(INDEX(Objections!$E$4:$E$8,MATCH($B33,Objections!$A$4:$A$8,0)),"")</f>
        <v/>
      </c>
      <c r="F33" s="48">
        <f>IFERROR(INDEX(Objections!$F$4:$F$8,MATCH($B33,Objections!$A$4:$A$8,0)),0)</f>
        <v>0</v>
      </c>
      <c r="G33" s="27" t="str">
        <f t="shared" si="0"/>
        <v>-</v>
      </c>
      <c r="H33" s="24">
        <f>MAX(0,Assumptions!$B$4+$K32-$AC32)</f>
        <v>3</v>
      </c>
      <c r="I33" s="24">
        <f t="shared" si="1"/>
        <v>0</v>
      </c>
      <c r="J33" s="18" t="str">
        <f t="shared" si="2"/>
        <v>OK</v>
      </c>
      <c r="K33" s="24">
        <f t="shared" si="3"/>
        <v>0</v>
      </c>
      <c r="L33" s="26">
        <f t="shared" si="15"/>
        <v>0.3</v>
      </c>
      <c r="M33" s="26">
        <f t="shared" si="16"/>
        <v>0.15</v>
      </c>
      <c r="N33" s="26">
        <f t="shared" si="17"/>
        <v>0.2</v>
      </c>
      <c r="O33" s="49" t="str">
        <f t="shared" si="18"/>
        <v/>
      </c>
      <c r="P33" s="48">
        <f t="shared" si="19"/>
        <v>1</v>
      </c>
      <c r="Q33" s="28">
        <f t="shared" si="4"/>
        <v>0</v>
      </c>
      <c r="R33" s="28">
        <f t="shared" si="20"/>
        <v>0</v>
      </c>
      <c r="S33" s="50">
        <f t="shared" si="21"/>
        <v>30000</v>
      </c>
      <c r="T33" s="25">
        <f t="shared" si="5"/>
        <v>1</v>
      </c>
      <c r="U33" s="24">
        <f t="shared" si="6"/>
        <v>0</v>
      </c>
      <c r="V33" s="24">
        <f t="shared" si="7"/>
        <v>0</v>
      </c>
      <c r="W33" s="47">
        <f t="shared" si="8"/>
        <v>0</v>
      </c>
      <c r="X33" s="51">
        <f>MAX(0,MIN($B$8,$X32-$U33-$W33-IF($A33&lt;=MAX($A$37:$A$76),Assumptions!$B$7,0)))</f>
        <v>0</v>
      </c>
      <c r="Y33" s="26">
        <f t="shared" si="9"/>
        <v>0</v>
      </c>
      <c r="Z33" s="26">
        <f t="shared" si="10"/>
        <v>0</v>
      </c>
      <c r="AA33" s="26">
        <f t="shared" si="11"/>
        <v>0</v>
      </c>
      <c r="AB33" s="26">
        <f t="shared" si="12"/>
        <v>0</v>
      </c>
      <c r="AC33" s="24">
        <f t="shared" si="13"/>
        <v>0</v>
      </c>
      <c r="AD33" s="27" t="str">
        <f t="shared" si="22"/>
        <v>-</v>
      </c>
      <c r="AE33" s="28">
        <f t="shared" si="23"/>
        <v>0</v>
      </c>
    </row>
    <row r="35" spans="1:31" x14ac:dyDescent="0.4">
      <c r="A35" s="8" t="s">
        <v>285</v>
      </c>
    </row>
    <row r="36" spans="1:31" ht="37.299999999999997" x14ac:dyDescent="0.4">
      <c r="A36" s="9" t="s">
        <v>258</v>
      </c>
      <c r="B36" s="9" t="s">
        <v>286</v>
      </c>
      <c r="C36" s="9" t="s">
        <v>287</v>
      </c>
      <c r="D36" s="9" t="s">
        <v>81</v>
      </c>
      <c r="E36" s="9" t="s">
        <v>288</v>
      </c>
      <c r="F36" s="9" t="s">
        <v>123</v>
      </c>
      <c r="G36" s="9" t="s">
        <v>124</v>
      </c>
      <c r="H36" s="9" t="s">
        <v>128</v>
      </c>
      <c r="I36" s="9" t="s">
        <v>129</v>
      </c>
      <c r="J36" s="9" t="s">
        <v>127</v>
      </c>
      <c r="K36" s="9" t="s">
        <v>289</v>
      </c>
      <c r="L36" s="9" t="s">
        <v>290</v>
      </c>
      <c r="M36" s="9" t="s">
        <v>291</v>
      </c>
      <c r="N36" s="9" t="s">
        <v>292</v>
      </c>
      <c r="O36" s="9" t="s">
        <v>271</v>
      </c>
      <c r="P36" s="9" t="s">
        <v>293</v>
      </c>
      <c r="Q36" s="9" t="s">
        <v>294</v>
      </c>
    </row>
    <row r="37" spans="1:31" x14ac:dyDescent="0.4">
      <c r="A37" s="11">
        <v>1</v>
      </c>
      <c r="B37" s="40" t="s">
        <v>183</v>
      </c>
      <c r="C37" s="35" t="s">
        <v>112</v>
      </c>
      <c r="D37" s="20" t="str">
        <f>IFERROR(INDEX(Cards!$B$4:$B$25,MATCH($B37,Cards!$A$4:$A$25,0)),"")</f>
        <v>Probe Needs</v>
      </c>
      <c r="E37" s="21" t="str">
        <f>IFERROR(IF(INDEX(Cards!$C$4:$C$25,MATCH($B37,Cards!$A$4:$A$25,0))="any",$C37,INDEX(Cards!$C$4:$C$25,MATCH($B37,Cards!$A$4:$A$25,0))),"")</f>
        <v>financing</v>
      </c>
      <c r="F37" s="29">
        <f>IFERROR(INDEX(Cards!$D$4:$D$25,MATCH($B37,Cards!$A$4:$A$25,0)),0)</f>
        <v>1</v>
      </c>
      <c r="G37" s="29">
        <f>IFERROR(INDEX(Cards!$E$4:$E$25,MATCH($B37,Cards!$A$4:$A$25,0)),0)</f>
        <v>0</v>
      </c>
      <c r="H37" s="29">
        <f>IFERROR(INDEX(Cards!$I$4:$I$25,MATCH($B37,Cards!$A$4:$A$25,0)),0)</f>
        <v>0</v>
      </c>
      <c r="I37" s="21" t="str">
        <f>IFERROR(IF(INDEX(Cards!$J$4:$J$25,MATCH($B37,Cards!$A$4:$A$25,0))=0,"",INDEX(Cards!$J$4:$J$25,MATCH($B37,Cards!$A$4:$A$25,0))),"")</f>
        <v/>
      </c>
      <c r="J37" s="31">
        <f>IFERROR(INDEX(Cards!$H$4:$H$25,MATCH($B37,Cards!$A$4:$A$25,0)),0)</f>
        <v>0.2</v>
      </c>
      <c r="K37" s="31">
        <f>IFERROR(INDEX(Cards!$L$4:$L$25,MATCH($B37,Cards!$A$4:$A$25,0)),0)</f>
        <v>0</v>
      </c>
      <c r="L37" s="30">
        <f>IFERROR(INDEX(Cards!$G$4:$G$25,MATCH($B37,Cards!$A$4:$A$25,0)),0)</f>
        <v>0</v>
      </c>
      <c r="M37" s="33">
        <f>$L37*$B$4*Assumptions!$B$15</f>
        <v>0</v>
      </c>
      <c r="N37" s="31">
        <f t="shared" ref="N37:N76" si="24">IFERROR(IF($E37="vehicle",INDEX($L$22:$L$33,MATCH($A37,$A$22:$A$33,0)),IF($E37="protection",INDEX($M$22:$M$33,MATCH($A37,$A$22:$A$33,0)),IF($E37="financing",INDEX($N$22:$N$33,MATCH($A37,$A$22:$A$33,0)),0))),0)</f>
        <v>0.4</v>
      </c>
      <c r="O37" s="42">
        <f t="shared" ref="O37:O76" si="25">IFERROR(INDEX($P$22:$P$33,MATCH($A37,$A$22:$A$33,0)),1)</f>
        <v>1</v>
      </c>
      <c r="P37" s="52" t="str">
        <f t="shared" ref="P37:P76" si="26">IFERROR(IF(AND($E37&lt;&gt;"",$E37=INDEX($O$22:$O$33,MATCH($A37,$A$22:$A$33,0))),"LOCKED",""),"")</f>
        <v/>
      </c>
      <c r="Q37" s="44">
        <f t="shared" ref="Q37:Q76" si="27">IF($P37="LOCKED",0,$M37*(1-$N37)*$O37)</f>
        <v>0</v>
      </c>
    </row>
    <row r="38" spans="1:31" x14ac:dyDescent="0.4">
      <c r="A38" s="11">
        <v>1</v>
      </c>
      <c r="B38" s="40" t="s">
        <v>173</v>
      </c>
      <c r="C38" s="35"/>
      <c r="D38" s="16" t="str">
        <f>IFERROR(INDEX(Cards!$B$4:$B$25,MATCH($B38,Cards!$A$4:$A$25,0)),"")</f>
        <v>Small Talk</v>
      </c>
      <c r="E38" s="18" t="str">
        <f>IFERROR(IF(INDEX(Cards!$C$4:$C$25,MATCH($B38,Cards!$A$4:$A$25,0))="any",$C38,INDEX(Cards!$C$4:$C$25,MATCH($B38,Cards!$A$4:$A$25,0))),"")</f>
        <v>none</v>
      </c>
      <c r="F38" s="24">
        <f>IFERROR(INDEX(Cards!$D$4:$D$25,MATCH($B38,Cards!$A$4:$A$25,0)),0)</f>
        <v>0</v>
      </c>
      <c r="G38" s="24">
        <f>IFERROR(INDEX(Cards!$E$4:$E$25,MATCH($B38,Cards!$A$4:$A$25,0)),0)</f>
        <v>0</v>
      </c>
      <c r="H38" s="24">
        <f>IFERROR(INDEX(Cards!$I$4:$I$25,MATCH($B38,Cards!$A$4:$A$25,0)),0)</f>
        <v>4</v>
      </c>
      <c r="I38" s="18" t="str">
        <f>IFERROR(IF(INDEX(Cards!$J$4:$J$25,MATCH($B38,Cards!$A$4:$A$25,0))=0,"",INDEX(Cards!$J$4:$J$25,MATCH($B38,Cards!$A$4:$A$25,0))),"")</f>
        <v/>
      </c>
      <c r="J38" s="26">
        <f>IFERROR(INDEX(Cards!$H$4:$H$25,MATCH($B38,Cards!$A$4:$A$25,0)),0)</f>
        <v>0</v>
      </c>
      <c r="K38" s="26">
        <f>IFERROR(INDEX(Cards!$L$4:$L$25,MATCH($B38,Cards!$A$4:$A$25,0)),0)</f>
        <v>0</v>
      </c>
      <c r="L38" s="25">
        <f>IFERROR(INDEX(Cards!$G$4:$G$25,MATCH($B38,Cards!$A$4:$A$25,0)),0)</f>
        <v>0</v>
      </c>
      <c r="M38" s="28">
        <f>$L38*$B$4*Assumptions!$B$15</f>
        <v>0</v>
      </c>
      <c r="N38" s="26">
        <f t="shared" si="24"/>
        <v>0</v>
      </c>
      <c r="O38" s="48">
        <f t="shared" si="25"/>
        <v>1</v>
      </c>
      <c r="P38" s="53" t="str">
        <f t="shared" si="26"/>
        <v/>
      </c>
      <c r="Q38" s="50">
        <f t="shared" si="27"/>
        <v>0</v>
      </c>
    </row>
    <row r="39" spans="1:31" x14ac:dyDescent="0.4">
      <c r="A39" s="11">
        <v>1</v>
      </c>
      <c r="B39" s="40" t="s">
        <v>136</v>
      </c>
      <c r="C39" s="35"/>
      <c r="D39" s="20" t="str">
        <f>IFERROR(INDEX(Cards!$B$4:$B$25,MATCH($B39,Cards!$A$4:$A$25,0)),"")</f>
        <v>Base Trim Pitch</v>
      </c>
      <c r="E39" s="21" t="str">
        <f>IFERROR(IF(INDEX(Cards!$C$4:$C$25,MATCH($B39,Cards!$A$4:$A$25,0))="any",$C39,INDEX(Cards!$C$4:$C$25,MATCH($B39,Cards!$A$4:$A$25,0))),"")</f>
        <v>vehicle</v>
      </c>
      <c r="F39" s="29">
        <f>IFERROR(INDEX(Cards!$D$4:$D$25,MATCH($B39,Cards!$A$4:$A$25,0)),0)</f>
        <v>1</v>
      </c>
      <c r="G39" s="29">
        <f>IFERROR(INDEX(Cards!$E$4:$E$25,MATCH($B39,Cards!$A$4:$A$25,0)),0)</f>
        <v>0</v>
      </c>
      <c r="H39" s="29">
        <f>IFERROR(INDEX(Cards!$I$4:$I$25,MATCH($B39,Cards!$A$4:$A$25,0)),0)</f>
        <v>0</v>
      </c>
      <c r="I39" s="21" t="str">
        <f>IFERROR(IF(INDEX(Cards!$J$4:$J$25,MATCH($B39,Cards!$A$4:$A$25,0))=0,"",INDEX(Cards!$J$4:$J$25,MATCH($B39,Cards!$A$4:$A$25,0))),"")</f>
        <v/>
      </c>
      <c r="J39" s="31">
        <f>IFERROR(INDEX(Cards!$H$4:$H$25,MATCH($B39,Cards!$A$4:$A$25,0)),0)</f>
        <v>0</v>
      </c>
      <c r="K39" s="31">
        <f>IFERROR(INDEX(Cards!$L$4:$L$25,MATCH($B39,Cards!$A$4:$A$25,0)),0)</f>
        <v>0</v>
      </c>
      <c r="L39" s="30">
        <f>IFERROR(INDEX(Cards!$G$4:$G$25,MATCH($B39,Cards!$A$4:$A$25,0)),0)</f>
        <v>8.3299999999999999E-2</v>
      </c>
      <c r="M39" s="33">
        <f>$L39*$B$4*Assumptions!$B$15</f>
        <v>4123.3499999999995</v>
      </c>
      <c r="N39" s="31">
        <f t="shared" si="24"/>
        <v>0.3</v>
      </c>
      <c r="O39" s="42">
        <f t="shared" si="25"/>
        <v>1</v>
      </c>
      <c r="P39" s="52" t="str">
        <f t="shared" si="26"/>
        <v/>
      </c>
      <c r="Q39" s="44">
        <f t="shared" si="27"/>
        <v>2886.3449999999993</v>
      </c>
    </row>
    <row r="40" spans="1:31" x14ac:dyDescent="0.4">
      <c r="A40" s="11">
        <v>2</v>
      </c>
      <c r="B40" s="40" t="s">
        <v>206</v>
      </c>
      <c r="C40" s="35"/>
      <c r="D40" s="16" t="str">
        <f>IFERROR(INDEX(Cards!$B$4:$B$25,MATCH($B40,Cards!$A$4:$A$25,0)),"")</f>
        <v>Justify The Value</v>
      </c>
      <c r="E40" s="18" t="str">
        <f>IFERROR(IF(INDEX(Cards!$C$4:$C$25,MATCH($B40,Cards!$A$4:$A$25,0))="any",$C40,INDEX(Cards!$C$4:$C$25,MATCH($B40,Cards!$A$4:$A$25,0))),"")</f>
        <v>none</v>
      </c>
      <c r="F40" s="24">
        <f>IFERROR(INDEX(Cards!$D$4:$D$25,MATCH($B40,Cards!$A$4:$A$25,0)),0)</f>
        <v>1</v>
      </c>
      <c r="G40" s="24">
        <f>IFERROR(INDEX(Cards!$E$4:$E$25,MATCH($B40,Cards!$A$4:$A$25,0)),0)</f>
        <v>0</v>
      </c>
      <c r="H40" s="24">
        <f>IFERROR(INDEX(Cards!$I$4:$I$25,MATCH($B40,Cards!$A$4:$A$25,0)),0)</f>
        <v>4</v>
      </c>
      <c r="I40" s="18" t="str">
        <f>IFERROR(IF(INDEX(Cards!$J$4:$J$25,MATCH($B40,Cards!$A$4:$A$25,0))=0,"",INDEX(Cards!$J$4:$J$25,MATCH($B40,Cards!$A$4:$A$25,0))),"")</f>
        <v>dont_need_extras</v>
      </c>
      <c r="J40" s="26">
        <f>IFERROR(INDEX(Cards!$H$4:$H$25,MATCH($B40,Cards!$A$4:$A$25,0)),0)</f>
        <v>0</v>
      </c>
      <c r="K40" s="26">
        <f>IFERROR(INDEX(Cards!$L$4:$L$25,MATCH($B40,Cards!$A$4:$A$25,0)),0)</f>
        <v>0</v>
      </c>
      <c r="L40" s="25">
        <f>IFERROR(INDEX(Cards!$G$4:$G$25,MATCH($B40,Cards!$A$4:$A$25,0)),0)</f>
        <v>0</v>
      </c>
      <c r="M40" s="28">
        <f>$L40*$B$4*Assumptions!$B$15</f>
        <v>0</v>
      </c>
      <c r="N40" s="26">
        <f t="shared" si="24"/>
        <v>0</v>
      </c>
      <c r="O40" s="48">
        <f t="shared" si="25"/>
        <v>1</v>
      </c>
      <c r="P40" s="53" t="str">
        <f t="shared" si="26"/>
        <v/>
      </c>
      <c r="Q40" s="50">
        <f t="shared" si="27"/>
        <v>0</v>
      </c>
    </row>
    <row r="41" spans="1:31" x14ac:dyDescent="0.4">
      <c r="A41" s="11">
        <v>2</v>
      </c>
      <c r="B41" s="40" t="s">
        <v>142</v>
      </c>
      <c r="C41" s="35"/>
      <c r="D41" s="20" t="str">
        <f>IFERROR(INDEX(Cards!$B$4:$B$25,MATCH($B41,Cards!$A$4:$A$25,0)),"")</f>
        <v>Upsell Package</v>
      </c>
      <c r="E41" s="21" t="str">
        <f>IFERROR(IF(INDEX(Cards!$C$4:$C$25,MATCH($B41,Cards!$A$4:$A$25,0))="any",$C41,INDEX(Cards!$C$4:$C$25,MATCH($B41,Cards!$A$4:$A$25,0))),"")</f>
        <v>vehicle</v>
      </c>
      <c r="F41" s="29">
        <f>IFERROR(INDEX(Cards!$D$4:$D$25,MATCH($B41,Cards!$A$4:$A$25,0)),0)</f>
        <v>2</v>
      </c>
      <c r="G41" s="29">
        <f>IFERROR(INDEX(Cards!$E$4:$E$25,MATCH($B41,Cards!$A$4:$A$25,0)),0)</f>
        <v>3</v>
      </c>
      <c r="H41" s="29">
        <f>IFERROR(INDEX(Cards!$I$4:$I$25,MATCH($B41,Cards!$A$4:$A$25,0)),0)</f>
        <v>0</v>
      </c>
      <c r="I41" s="21" t="str">
        <f>IFERROR(IF(INDEX(Cards!$J$4:$J$25,MATCH($B41,Cards!$A$4:$A$25,0))=0,"",INDEX(Cards!$J$4:$J$25,MATCH($B41,Cards!$A$4:$A$25,0))),"")</f>
        <v/>
      </c>
      <c r="J41" s="31">
        <f>IFERROR(INDEX(Cards!$H$4:$H$25,MATCH($B41,Cards!$A$4:$A$25,0)),0)</f>
        <v>0</v>
      </c>
      <c r="K41" s="31">
        <f>IFERROR(INDEX(Cards!$L$4:$L$25,MATCH($B41,Cards!$A$4:$A$25,0)),0)</f>
        <v>0</v>
      </c>
      <c r="L41" s="30">
        <f>IFERROR(INDEX(Cards!$G$4:$G$25,MATCH($B41,Cards!$A$4:$A$25,0)),0)</f>
        <v>0.16669999999999999</v>
      </c>
      <c r="M41" s="33">
        <f>$L41*$B$4*Assumptions!$B$15</f>
        <v>8251.65</v>
      </c>
      <c r="N41" s="31">
        <f t="shared" si="24"/>
        <v>0.3</v>
      </c>
      <c r="O41" s="42">
        <f t="shared" si="25"/>
        <v>1</v>
      </c>
      <c r="P41" s="52" t="str">
        <f t="shared" si="26"/>
        <v/>
      </c>
      <c r="Q41" s="44">
        <f t="shared" si="27"/>
        <v>5776.1549999999997</v>
      </c>
    </row>
    <row r="42" spans="1:31" x14ac:dyDescent="0.4">
      <c r="A42" s="11">
        <v>3</v>
      </c>
      <c r="B42" s="40" t="s">
        <v>168</v>
      </c>
      <c r="C42" s="35"/>
      <c r="D42" s="16" t="str">
        <f>IFERROR(INDEX(Cards!$B$4:$B$25,MATCH($B42,Cards!$A$4:$A$25,0)),"")</f>
        <v>Build Rapport</v>
      </c>
      <c r="E42" s="18" t="str">
        <f>IFERROR(IF(INDEX(Cards!$C$4:$C$25,MATCH($B42,Cards!$A$4:$A$25,0))="any",$C42,INDEX(Cards!$C$4:$C$25,MATCH($B42,Cards!$A$4:$A$25,0))),"")</f>
        <v>none</v>
      </c>
      <c r="F42" s="24">
        <f>IFERROR(INDEX(Cards!$D$4:$D$25,MATCH($B42,Cards!$A$4:$A$25,0)),0)</f>
        <v>1</v>
      </c>
      <c r="G42" s="24">
        <f>IFERROR(INDEX(Cards!$E$4:$E$25,MATCH($B42,Cards!$A$4:$A$25,0)),0)</f>
        <v>0</v>
      </c>
      <c r="H42" s="24">
        <f>IFERROR(INDEX(Cards!$I$4:$I$25,MATCH($B42,Cards!$A$4:$A$25,0)),0)</f>
        <v>10</v>
      </c>
      <c r="I42" s="18" t="str">
        <f>IFERROR(IF(INDEX(Cards!$J$4:$J$25,MATCH($B42,Cards!$A$4:$A$25,0))=0,"",INDEX(Cards!$J$4:$J$25,MATCH($B42,Cards!$A$4:$A$25,0))),"")</f>
        <v/>
      </c>
      <c r="J42" s="26">
        <f>IFERROR(INDEX(Cards!$H$4:$H$25,MATCH($B42,Cards!$A$4:$A$25,0)),0)</f>
        <v>0</v>
      </c>
      <c r="K42" s="26">
        <f>IFERROR(INDEX(Cards!$L$4:$L$25,MATCH($B42,Cards!$A$4:$A$25,0)),0)</f>
        <v>0</v>
      </c>
      <c r="L42" s="25">
        <f>IFERROR(INDEX(Cards!$G$4:$G$25,MATCH($B42,Cards!$A$4:$A$25,0)),0)</f>
        <v>0</v>
      </c>
      <c r="M42" s="28">
        <f>$L42*$B$4*Assumptions!$B$15</f>
        <v>0</v>
      </c>
      <c r="N42" s="26">
        <f t="shared" si="24"/>
        <v>0</v>
      </c>
      <c r="O42" s="48">
        <f t="shared" si="25"/>
        <v>1</v>
      </c>
      <c r="P42" s="53" t="str">
        <f t="shared" si="26"/>
        <v/>
      </c>
      <c r="Q42" s="50">
        <f t="shared" si="27"/>
        <v>0</v>
      </c>
    </row>
    <row r="43" spans="1:31" x14ac:dyDescent="0.4">
      <c r="A43" s="11">
        <v>3</v>
      </c>
      <c r="B43" s="40" t="s">
        <v>150</v>
      </c>
      <c r="C43" s="35"/>
      <c r="D43" s="20" t="str">
        <f>IFERROR(INDEX(Cards!$B$4:$B$25,MATCH($B43,Cards!$A$4:$A$25,0)),"")</f>
        <v>Extended Warranty</v>
      </c>
      <c r="E43" s="21" t="str">
        <f>IFERROR(IF(INDEX(Cards!$C$4:$C$25,MATCH($B43,Cards!$A$4:$A$25,0))="any",$C43,INDEX(Cards!$C$4:$C$25,MATCH($B43,Cards!$A$4:$A$25,0))),"")</f>
        <v>protection</v>
      </c>
      <c r="F43" s="29">
        <f>IFERROR(INDEX(Cards!$D$4:$D$25,MATCH($B43,Cards!$A$4:$A$25,0)),0)</f>
        <v>2</v>
      </c>
      <c r="G43" s="29">
        <f>IFERROR(INDEX(Cards!$E$4:$E$25,MATCH($B43,Cards!$A$4:$A$25,0)),0)</f>
        <v>4</v>
      </c>
      <c r="H43" s="29">
        <f>IFERROR(INDEX(Cards!$I$4:$I$25,MATCH($B43,Cards!$A$4:$A$25,0)),0)</f>
        <v>0</v>
      </c>
      <c r="I43" s="21" t="str">
        <f>IFERROR(IF(INDEX(Cards!$J$4:$J$25,MATCH($B43,Cards!$A$4:$A$25,0))=0,"",INDEX(Cards!$J$4:$J$25,MATCH($B43,Cards!$A$4:$A$25,0))),"")</f>
        <v/>
      </c>
      <c r="J43" s="31">
        <f>IFERROR(INDEX(Cards!$H$4:$H$25,MATCH($B43,Cards!$A$4:$A$25,0)),0)</f>
        <v>0</v>
      </c>
      <c r="K43" s="31">
        <f>IFERROR(INDEX(Cards!$L$4:$L$25,MATCH($B43,Cards!$A$4:$A$25,0)),0)</f>
        <v>0</v>
      </c>
      <c r="L43" s="30">
        <f>IFERROR(INDEX(Cards!$G$4:$G$25,MATCH($B43,Cards!$A$4:$A$25,0)),0)</f>
        <v>0.1333</v>
      </c>
      <c r="M43" s="33">
        <f>$L43*$B$4*Assumptions!$B$15</f>
        <v>6598.3499999999995</v>
      </c>
      <c r="N43" s="31">
        <f t="shared" si="24"/>
        <v>0.15</v>
      </c>
      <c r="O43" s="42">
        <f t="shared" si="25"/>
        <v>1</v>
      </c>
      <c r="P43" s="52" t="str">
        <f t="shared" si="26"/>
        <v/>
      </c>
      <c r="Q43" s="44">
        <f t="shared" si="27"/>
        <v>5608.5974999999989</v>
      </c>
    </row>
    <row r="44" spans="1:31" x14ac:dyDescent="0.4">
      <c r="A44" s="11">
        <v>4</v>
      </c>
      <c r="B44" s="40" t="s">
        <v>206</v>
      </c>
      <c r="C44" s="35"/>
      <c r="D44" s="16" t="str">
        <f>IFERROR(INDEX(Cards!$B$4:$B$25,MATCH($B44,Cards!$A$4:$A$25,0)),"")</f>
        <v>Justify The Value</v>
      </c>
      <c r="E44" s="18" t="str">
        <f>IFERROR(IF(INDEX(Cards!$C$4:$C$25,MATCH($B44,Cards!$A$4:$A$25,0))="any",$C44,INDEX(Cards!$C$4:$C$25,MATCH($B44,Cards!$A$4:$A$25,0))),"")</f>
        <v>none</v>
      </c>
      <c r="F44" s="24">
        <f>IFERROR(INDEX(Cards!$D$4:$D$25,MATCH($B44,Cards!$A$4:$A$25,0)),0)</f>
        <v>1</v>
      </c>
      <c r="G44" s="24">
        <f>IFERROR(INDEX(Cards!$E$4:$E$25,MATCH($B44,Cards!$A$4:$A$25,0)),0)</f>
        <v>0</v>
      </c>
      <c r="H44" s="24">
        <f>IFERROR(INDEX(Cards!$I$4:$I$25,MATCH($B44,Cards!$A$4:$A$25,0)),0)</f>
        <v>4</v>
      </c>
      <c r="I44" s="18" t="str">
        <f>IFERROR(IF(INDEX(Cards!$J$4:$J$25,MATCH($B44,Cards!$A$4:$A$25,0))=0,"",INDEX(Cards!$J$4:$J$25,MATCH($B44,Cards!$A$4:$A$25,0))),"")</f>
        <v>dont_need_extras</v>
      </c>
      <c r="J44" s="26">
        <f>IFERROR(INDEX(Cards!$H$4:$H$25,MATCH($B44,Cards!$A$4:$A$25,0)),0)</f>
        <v>0</v>
      </c>
      <c r="K44" s="26">
        <f>IFERROR(INDEX(Cards!$L$4:$L$25,MATCH($B44,Cards!$A$4:$A$25,0)),0)</f>
        <v>0</v>
      </c>
      <c r="L44" s="25">
        <f>IFERROR(INDEX(Cards!$G$4:$G$25,MATCH($B44,Cards!$A$4:$A$25,0)),0)</f>
        <v>0</v>
      </c>
      <c r="M44" s="28">
        <f>$L44*$B$4*Assumptions!$B$15</f>
        <v>0</v>
      </c>
      <c r="N44" s="26">
        <f t="shared" si="24"/>
        <v>0</v>
      </c>
      <c r="O44" s="48">
        <f t="shared" si="25"/>
        <v>1</v>
      </c>
      <c r="P44" s="53" t="str">
        <f t="shared" si="26"/>
        <v/>
      </c>
      <c r="Q44" s="50">
        <f t="shared" si="27"/>
        <v>0</v>
      </c>
    </row>
    <row r="45" spans="1:31" x14ac:dyDescent="0.4">
      <c r="A45" s="11">
        <v>4</v>
      </c>
      <c r="B45" s="40" t="s">
        <v>159</v>
      </c>
      <c r="C45" s="35"/>
      <c r="D45" s="20" t="str">
        <f>IFERROR(INDEX(Cards!$B$4:$B$25,MATCH($B45,Cards!$A$4:$A$25,0)),"")</f>
        <v>Rate Markup</v>
      </c>
      <c r="E45" s="21" t="str">
        <f>IFERROR(IF(INDEX(Cards!$C$4:$C$25,MATCH($B45,Cards!$A$4:$A$25,0))="any",$C45,INDEX(Cards!$C$4:$C$25,MATCH($B45,Cards!$A$4:$A$25,0))),"")</f>
        <v>financing</v>
      </c>
      <c r="F45" s="29">
        <f>IFERROR(INDEX(Cards!$D$4:$D$25,MATCH($B45,Cards!$A$4:$A$25,0)),0)</f>
        <v>1</v>
      </c>
      <c r="G45" s="29">
        <f>IFERROR(INDEX(Cards!$E$4:$E$25,MATCH($B45,Cards!$A$4:$A$25,0)),0)</f>
        <v>5</v>
      </c>
      <c r="H45" s="29">
        <f>IFERROR(INDEX(Cards!$I$4:$I$25,MATCH($B45,Cards!$A$4:$A$25,0)),0)</f>
        <v>0</v>
      </c>
      <c r="I45" s="21" t="str">
        <f>IFERROR(IF(INDEX(Cards!$J$4:$J$25,MATCH($B45,Cards!$A$4:$A$25,0))=0,"",INDEX(Cards!$J$4:$J$25,MATCH($B45,Cards!$A$4:$A$25,0))),"")</f>
        <v/>
      </c>
      <c r="J45" s="31">
        <f>IFERROR(INDEX(Cards!$H$4:$H$25,MATCH($B45,Cards!$A$4:$A$25,0)),0)</f>
        <v>0</v>
      </c>
      <c r="K45" s="31">
        <f>IFERROR(INDEX(Cards!$L$4:$L$25,MATCH($B45,Cards!$A$4:$A$25,0)),0)</f>
        <v>0</v>
      </c>
      <c r="L45" s="30">
        <f>IFERROR(INDEX(Cards!$G$4:$G$25,MATCH($B45,Cards!$A$4:$A$25,0)),0)</f>
        <v>6.6699999999999995E-2</v>
      </c>
      <c r="M45" s="33">
        <f>$L45*$B$4*Assumptions!$B$15</f>
        <v>3301.6499999999996</v>
      </c>
      <c r="N45" s="31">
        <f t="shared" si="24"/>
        <v>0.2</v>
      </c>
      <c r="O45" s="42">
        <f t="shared" si="25"/>
        <v>1</v>
      </c>
      <c r="P45" s="52" t="str">
        <f t="shared" si="26"/>
        <v/>
      </c>
      <c r="Q45" s="44">
        <f t="shared" si="27"/>
        <v>2641.3199999999997</v>
      </c>
    </row>
    <row r="46" spans="1:31" x14ac:dyDescent="0.4">
      <c r="A46" s="11">
        <v>5</v>
      </c>
      <c r="B46" s="40" t="s">
        <v>168</v>
      </c>
      <c r="C46" s="35"/>
      <c r="D46" s="16" t="str">
        <f>IFERROR(INDEX(Cards!$B$4:$B$25,MATCH($B46,Cards!$A$4:$A$25,0)),"")</f>
        <v>Build Rapport</v>
      </c>
      <c r="E46" s="18" t="str">
        <f>IFERROR(IF(INDEX(Cards!$C$4:$C$25,MATCH($B46,Cards!$A$4:$A$25,0))="any",$C46,INDEX(Cards!$C$4:$C$25,MATCH($B46,Cards!$A$4:$A$25,0))),"")</f>
        <v>none</v>
      </c>
      <c r="F46" s="24">
        <f>IFERROR(INDEX(Cards!$D$4:$D$25,MATCH($B46,Cards!$A$4:$A$25,0)),0)</f>
        <v>1</v>
      </c>
      <c r="G46" s="24">
        <f>IFERROR(INDEX(Cards!$E$4:$E$25,MATCH($B46,Cards!$A$4:$A$25,0)),0)</f>
        <v>0</v>
      </c>
      <c r="H46" s="24">
        <f>IFERROR(INDEX(Cards!$I$4:$I$25,MATCH($B46,Cards!$A$4:$A$25,0)),0)</f>
        <v>10</v>
      </c>
      <c r="I46" s="18" t="str">
        <f>IFERROR(IF(INDEX(Cards!$J$4:$J$25,MATCH($B46,Cards!$A$4:$A$25,0))=0,"",INDEX(Cards!$J$4:$J$25,MATCH($B46,Cards!$A$4:$A$25,0))),"")</f>
        <v/>
      </c>
      <c r="J46" s="26">
        <f>IFERROR(INDEX(Cards!$H$4:$H$25,MATCH($B46,Cards!$A$4:$A$25,0)),0)</f>
        <v>0</v>
      </c>
      <c r="K46" s="26">
        <f>IFERROR(INDEX(Cards!$L$4:$L$25,MATCH($B46,Cards!$A$4:$A$25,0)),0)</f>
        <v>0</v>
      </c>
      <c r="L46" s="25">
        <f>IFERROR(INDEX(Cards!$G$4:$G$25,MATCH($B46,Cards!$A$4:$A$25,0)),0)</f>
        <v>0</v>
      </c>
      <c r="M46" s="28">
        <f>$L46*$B$4*Assumptions!$B$15</f>
        <v>0</v>
      </c>
      <c r="N46" s="26">
        <f t="shared" si="24"/>
        <v>0</v>
      </c>
      <c r="O46" s="48">
        <f t="shared" si="25"/>
        <v>1</v>
      </c>
      <c r="P46" s="53" t="str">
        <f t="shared" si="26"/>
        <v/>
      </c>
      <c r="Q46" s="50">
        <f t="shared" si="27"/>
        <v>0</v>
      </c>
    </row>
    <row r="47" spans="1:31" x14ac:dyDescent="0.4">
      <c r="A47" s="11">
        <v>5</v>
      </c>
      <c r="B47" s="40" t="s">
        <v>162</v>
      </c>
      <c r="C47" s="35"/>
      <c r="D47" s="20" t="str">
        <f>IFERROR(INDEX(Cards!$B$4:$B$25,MATCH($B47,Cards!$A$4:$A$25,0)),"")</f>
        <v>Term Extension</v>
      </c>
      <c r="E47" s="21" t="str">
        <f>IFERROR(IF(INDEX(Cards!$C$4:$C$25,MATCH($B47,Cards!$A$4:$A$25,0))="any",$C47,INDEX(Cards!$C$4:$C$25,MATCH($B47,Cards!$A$4:$A$25,0))),"")</f>
        <v>financing</v>
      </c>
      <c r="F47" s="29">
        <f>IFERROR(INDEX(Cards!$D$4:$D$25,MATCH($B47,Cards!$A$4:$A$25,0)),0)</f>
        <v>2</v>
      </c>
      <c r="G47" s="29">
        <f>IFERROR(INDEX(Cards!$E$4:$E$25,MATCH($B47,Cards!$A$4:$A$25,0)),0)</f>
        <v>3</v>
      </c>
      <c r="H47" s="29">
        <f>IFERROR(INDEX(Cards!$I$4:$I$25,MATCH($B47,Cards!$A$4:$A$25,0)),0)</f>
        <v>0</v>
      </c>
      <c r="I47" s="21" t="str">
        <f>IFERROR(IF(INDEX(Cards!$J$4:$J$25,MATCH($B47,Cards!$A$4:$A$25,0))=0,"",INDEX(Cards!$J$4:$J$25,MATCH($B47,Cards!$A$4:$A$25,0))),"")</f>
        <v/>
      </c>
      <c r="J47" s="31">
        <f>IFERROR(INDEX(Cards!$H$4:$H$25,MATCH($B47,Cards!$A$4:$A$25,0)),0)</f>
        <v>0</v>
      </c>
      <c r="K47" s="31">
        <f>IFERROR(INDEX(Cards!$L$4:$L$25,MATCH($B47,Cards!$A$4:$A$25,0)),0)</f>
        <v>0</v>
      </c>
      <c r="L47" s="30">
        <f>IFERROR(INDEX(Cards!$G$4:$G$25,MATCH($B47,Cards!$A$4:$A$25,0)),0)</f>
        <v>0.12670000000000001</v>
      </c>
      <c r="M47" s="33">
        <f>$L47*$B$4*Assumptions!$B$15</f>
        <v>6271.65</v>
      </c>
      <c r="N47" s="31">
        <f t="shared" si="24"/>
        <v>0.2</v>
      </c>
      <c r="O47" s="42">
        <f t="shared" si="25"/>
        <v>1</v>
      </c>
      <c r="P47" s="52" t="str">
        <f t="shared" si="26"/>
        <v/>
      </c>
      <c r="Q47" s="44">
        <f t="shared" si="27"/>
        <v>5017.32</v>
      </c>
    </row>
    <row r="48" spans="1:31" x14ac:dyDescent="0.4">
      <c r="A48" s="11">
        <v>6</v>
      </c>
      <c r="B48" s="40" t="s">
        <v>173</v>
      </c>
      <c r="C48" s="35"/>
      <c r="D48" s="16" t="str">
        <f>IFERROR(INDEX(Cards!$B$4:$B$25,MATCH($B48,Cards!$A$4:$A$25,0)),"")</f>
        <v>Small Talk</v>
      </c>
      <c r="E48" s="18" t="str">
        <f>IFERROR(IF(INDEX(Cards!$C$4:$C$25,MATCH($B48,Cards!$A$4:$A$25,0))="any",$C48,INDEX(Cards!$C$4:$C$25,MATCH($B48,Cards!$A$4:$A$25,0))),"")</f>
        <v>none</v>
      </c>
      <c r="F48" s="24">
        <f>IFERROR(INDEX(Cards!$D$4:$D$25,MATCH($B48,Cards!$A$4:$A$25,0)),0)</f>
        <v>0</v>
      </c>
      <c r="G48" s="24">
        <f>IFERROR(INDEX(Cards!$E$4:$E$25,MATCH($B48,Cards!$A$4:$A$25,0)),0)</f>
        <v>0</v>
      </c>
      <c r="H48" s="24">
        <f>IFERROR(INDEX(Cards!$I$4:$I$25,MATCH($B48,Cards!$A$4:$A$25,0)),0)</f>
        <v>4</v>
      </c>
      <c r="I48" s="18" t="str">
        <f>IFERROR(IF(INDEX(Cards!$J$4:$J$25,MATCH($B48,Cards!$A$4:$A$25,0))=0,"",INDEX(Cards!$J$4:$J$25,MATCH($B48,Cards!$A$4:$A$25,0))),"")</f>
        <v/>
      </c>
      <c r="J48" s="26">
        <f>IFERROR(INDEX(Cards!$H$4:$H$25,MATCH($B48,Cards!$A$4:$A$25,0)),0)</f>
        <v>0</v>
      </c>
      <c r="K48" s="26">
        <f>IFERROR(INDEX(Cards!$L$4:$L$25,MATCH($B48,Cards!$A$4:$A$25,0)),0)</f>
        <v>0</v>
      </c>
      <c r="L48" s="25">
        <f>IFERROR(INDEX(Cards!$G$4:$G$25,MATCH($B48,Cards!$A$4:$A$25,0)),0)</f>
        <v>0</v>
      </c>
      <c r="M48" s="28">
        <f>$L48*$B$4*Assumptions!$B$15</f>
        <v>0</v>
      </c>
      <c r="N48" s="26">
        <f t="shared" si="24"/>
        <v>0</v>
      </c>
      <c r="O48" s="48">
        <f t="shared" si="25"/>
        <v>1</v>
      </c>
      <c r="P48" s="53" t="str">
        <f t="shared" si="26"/>
        <v/>
      </c>
      <c r="Q48" s="50">
        <f t="shared" si="27"/>
        <v>0</v>
      </c>
    </row>
    <row r="49" spans="1:17" x14ac:dyDescent="0.4">
      <c r="A49" s="11">
        <v>6</v>
      </c>
      <c r="B49" s="40" t="s">
        <v>153</v>
      </c>
      <c r="C49" s="35"/>
      <c r="D49" s="20" t="str">
        <f>IFERROR(INDEX(Cards!$B$4:$B$25,MATCH($B49,Cards!$A$4:$A$25,0)),"")</f>
        <v>Gap Insurance</v>
      </c>
      <c r="E49" s="21" t="str">
        <f>IFERROR(IF(INDEX(Cards!$C$4:$C$25,MATCH($B49,Cards!$A$4:$A$25,0))="any",$C49,INDEX(Cards!$C$4:$C$25,MATCH($B49,Cards!$A$4:$A$25,0))),"")</f>
        <v>protection</v>
      </c>
      <c r="F49" s="29">
        <f>IFERROR(INDEX(Cards!$D$4:$D$25,MATCH($B49,Cards!$A$4:$A$25,0)),0)</f>
        <v>1</v>
      </c>
      <c r="G49" s="29">
        <f>IFERROR(INDEX(Cards!$E$4:$E$25,MATCH($B49,Cards!$A$4:$A$25,0)),0)</f>
        <v>2</v>
      </c>
      <c r="H49" s="29">
        <f>IFERROR(INDEX(Cards!$I$4:$I$25,MATCH($B49,Cards!$A$4:$A$25,0)),0)</f>
        <v>0</v>
      </c>
      <c r="I49" s="21" t="str">
        <f>IFERROR(IF(INDEX(Cards!$J$4:$J$25,MATCH($B49,Cards!$A$4:$A$25,0))=0,"",INDEX(Cards!$J$4:$J$25,MATCH($B49,Cards!$A$4:$A$25,0))),"")</f>
        <v/>
      </c>
      <c r="J49" s="31">
        <f>IFERROR(INDEX(Cards!$H$4:$H$25,MATCH($B49,Cards!$A$4:$A$25,0)),0)</f>
        <v>0</v>
      </c>
      <c r="K49" s="31">
        <f>IFERROR(INDEX(Cards!$L$4:$L$25,MATCH($B49,Cards!$A$4:$A$25,0)),0)</f>
        <v>0</v>
      </c>
      <c r="L49" s="30">
        <f>IFERROR(INDEX(Cards!$G$4:$G$25,MATCH($B49,Cards!$A$4:$A$25,0)),0)</f>
        <v>7.3300000000000004E-2</v>
      </c>
      <c r="M49" s="33">
        <f>$L49*$B$4*Assumptions!$B$15</f>
        <v>3628.35</v>
      </c>
      <c r="N49" s="31">
        <f t="shared" si="24"/>
        <v>0.15</v>
      </c>
      <c r="O49" s="42">
        <f t="shared" si="25"/>
        <v>1</v>
      </c>
      <c r="P49" s="52" t="str">
        <f t="shared" si="26"/>
        <v/>
      </c>
      <c r="Q49" s="44">
        <f t="shared" si="27"/>
        <v>3084.0974999999999</v>
      </c>
    </row>
    <row r="50" spans="1:17" x14ac:dyDescent="0.4">
      <c r="A50" s="11">
        <v>6</v>
      </c>
      <c r="B50" s="40" t="s">
        <v>200</v>
      </c>
      <c r="C50" s="35" t="s">
        <v>95</v>
      </c>
      <c r="D50" s="16" t="str">
        <f>IFERROR(INDEX(Cards!$B$4:$B$25,MATCH($B50,Cards!$A$4:$A$25,0)),"")</f>
        <v>Close Hard</v>
      </c>
      <c r="E50" s="18" t="str">
        <f>IFERROR(IF(INDEX(Cards!$C$4:$C$25,MATCH($B50,Cards!$A$4:$A$25,0))="any",$C50,INDEX(Cards!$C$4:$C$25,MATCH($B50,Cards!$A$4:$A$25,0))),"")</f>
        <v>vehicle</v>
      </c>
      <c r="F50" s="24">
        <f>IFERROR(INDEX(Cards!$D$4:$D$25,MATCH($B50,Cards!$A$4:$A$25,0)),0)</f>
        <v>2</v>
      </c>
      <c r="G50" s="24">
        <f>IFERROR(INDEX(Cards!$E$4:$E$25,MATCH($B50,Cards!$A$4:$A$25,0)),0)</f>
        <v>8</v>
      </c>
      <c r="H50" s="24">
        <f>IFERROR(INDEX(Cards!$I$4:$I$25,MATCH($B50,Cards!$A$4:$A$25,0)),0)</f>
        <v>0</v>
      </c>
      <c r="I50" s="18" t="str">
        <f>IFERROR(IF(INDEX(Cards!$J$4:$J$25,MATCH($B50,Cards!$A$4:$A$25,0))=0,"",INDEX(Cards!$J$4:$J$25,MATCH($B50,Cards!$A$4:$A$25,0))),"")</f>
        <v/>
      </c>
      <c r="J50" s="26">
        <f>IFERROR(INDEX(Cards!$H$4:$H$25,MATCH($B50,Cards!$A$4:$A$25,0)),0)</f>
        <v>0</v>
      </c>
      <c r="K50" s="26">
        <f>IFERROR(INDEX(Cards!$L$4:$L$25,MATCH($B50,Cards!$A$4:$A$25,0)),0)</f>
        <v>0</v>
      </c>
      <c r="L50" s="25">
        <f>IFERROR(INDEX(Cards!$G$4:$G$25,MATCH($B50,Cards!$A$4:$A$25,0)),0)</f>
        <v>0.2</v>
      </c>
      <c r="M50" s="28">
        <f>$L50*$B$4*Assumptions!$B$15</f>
        <v>9900</v>
      </c>
      <c r="N50" s="26">
        <f t="shared" si="24"/>
        <v>0.3</v>
      </c>
      <c r="O50" s="48">
        <f t="shared" si="25"/>
        <v>1</v>
      </c>
      <c r="P50" s="53" t="str">
        <f t="shared" si="26"/>
        <v/>
      </c>
      <c r="Q50" s="50">
        <f t="shared" si="27"/>
        <v>6930</v>
      </c>
    </row>
    <row r="51" spans="1:17" x14ac:dyDescent="0.4">
      <c r="A51" s="11"/>
      <c r="B51" s="40"/>
      <c r="C51" s="35"/>
      <c r="D51" s="20" t="str">
        <f>IFERROR(INDEX(Cards!$B$4:$B$25,MATCH($B51,Cards!$A$4:$A$25,0)),"")</f>
        <v/>
      </c>
      <c r="E51" s="21" t="str">
        <f>IFERROR(IF(INDEX(Cards!$C$4:$C$25,MATCH($B51,Cards!$A$4:$A$25,0))="any",$C51,INDEX(Cards!$C$4:$C$25,MATCH($B51,Cards!$A$4:$A$25,0))),"")</f>
        <v/>
      </c>
      <c r="F51" s="29">
        <f>IFERROR(INDEX(Cards!$D$4:$D$25,MATCH($B51,Cards!$A$4:$A$25,0)),0)</f>
        <v>0</v>
      </c>
      <c r="G51" s="29">
        <f>IFERROR(INDEX(Cards!$E$4:$E$25,MATCH($B51,Cards!$A$4:$A$25,0)),0)</f>
        <v>0</v>
      </c>
      <c r="H51" s="29">
        <f>IFERROR(INDEX(Cards!$I$4:$I$25,MATCH($B51,Cards!$A$4:$A$25,0)),0)</f>
        <v>0</v>
      </c>
      <c r="I51" s="21" t="str">
        <f>IFERROR(IF(INDEX(Cards!$J$4:$J$25,MATCH($B51,Cards!$A$4:$A$25,0))=0,"",INDEX(Cards!$J$4:$J$25,MATCH($B51,Cards!$A$4:$A$25,0))),"")</f>
        <v/>
      </c>
      <c r="J51" s="31">
        <f>IFERROR(INDEX(Cards!$H$4:$H$25,MATCH($B51,Cards!$A$4:$A$25,0)),0)</f>
        <v>0</v>
      </c>
      <c r="K51" s="31">
        <f>IFERROR(INDEX(Cards!$L$4:$L$25,MATCH($B51,Cards!$A$4:$A$25,0)),0)</f>
        <v>0</v>
      </c>
      <c r="L51" s="30">
        <f>IFERROR(INDEX(Cards!$G$4:$G$25,MATCH($B51,Cards!$A$4:$A$25,0)),0)</f>
        <v>0</v>
      </c>
      <c r="M51" s="33">
        <f>$L51*$B$4*Assumptions!$B$15</f>
        <v>0</v>
      </c>
      <c r="N51" s="31">
        <f t="shared" si="24"/>
        <v>0</v>
      </c>
      <c r="O51" s="42">
        <f t="shared" si="25"/>
        <v>1</v>
      </c>
      <c r="P51" s="52" t="str">
        <f t="shared" si="26"/>
        <v/>
      </c>
      <c r="Q51" s="44">
        <f t="shared" si="27"/>
        <v>0</v>
      </c>
    </row>
    <row r="52" spans="1:17" x14ac:dyDescent="0.4">
      <c r="A52" s="11"/>
      <c r="B52" s="40"/>
      <c r="C52" s="35"/>
      <c r="D52" s="16" t="str">
        <f>IFERROR(INDEX(Cards!$B$4:$B$25,MATCH($B52,Cards!$A$4:$A$25,0)),"")</f>
        <v/>
      </c>
      <c r="E52" s="18" t="str">
        <f>IFERROR(IF(INDEX(Cards!$C$4:$C$25,MATCH($B52,Cards!$A$4:$A$25,0))="any",$C52,INDEX(Cards!$C$4:$C$25,MATCH($B52,Cards!$A$4:$A$25,0))),"")</f>
        <v/>
      </c>
      <c r="F52" s="24">
        <f>IFERROR(INDEX(Cards!$D$4:$D$25,MATCH($B52,Cards!$A$4:$A$25,0)),0)</f>
        <v>0</v>
      </c>
      <c r="G52" s="24">
        <f>IFERROR(INDEX(Cards!$E$4:$E$25,MATCH($B52,Cards!$A$4:$A$25,0)),0)</f>
        <v>0</v>
      </c>
      <c r="H52" s="24">
        <f>IFERROR(INDEX(Cards!$I$4:$I$25,MATCH($B52,Cards!$A$4:$A$25,0)),0)</f>
        <v>0</v>
      </c>
      <c r="I52" s="18" t="str">
        <f>IFERROR(IF(INDEX(Cards!$J$4:$J$25,MATCH($B52,Cards!$A$4:$A$25,0))=0,"",INDEX(Cards!$J$4:$J$25,MATCH($B52,Cards!$A$4:$A$25,0))),"")</f>
        <v/>
      </c>
      <c r="J52" s="26">
        <f>IFERROR(INDEX(Cards!$H$4:$H$25,MATCH($B52,Cards!$A$4:$A$25,0)),0)</f>
        <v>0</v>
      </c>
      <c r="K52" s="26">
        <f>IFERROR(INDEX(Cards!$L$4:$L$25,MATCH($B52,Cards!$A$4:$A$25,0)),0)</f>
        <v>0</v>
      </c>
      <c r="L52" s="25">
        <f>IFERROR(INDEX(Cards!$G$4:$G$25,MATCH($B52,Cards!$A$4:$A$25,0)),0)</f>
        <v>0</v>
      </c>
      <c r="M52" s="28">
        <f>$L52*$B$4*Assumptions!$B$15</f>
        <v>0</v>
      </c>
      <c r="N52" s="26">
        <f t="shared" si="24"/>
        <v>0</v>
      </c>
      <c r="O52" s="48">
        <f t="shared" si="25"/>
        <v>1</v>
      </c>
      <c r="P52" s="53" t="str">
        <f t="shared" si="26"/>
        <v/>
      </c>
      <c r="Q52" s="50">
        <f t="shared" si="27"/>
        <v>0</v>
      </c>
    </row>
    <row r="53" spans="1:17" x14ac:dyDescent="0.4">
      <c r="A53" s="11"/>
      <c r="B53" s="40"/>
      <c r="C53" s="35"/>
      <c r="D53" s="20" t="str">
        <f>IFERROR(INDEX(Cards!$B$4:$B$25,MATCH($B53,Cards!$A$4:$A$25,0)),"")</f>
        <v/>
      </c>
      <c r="E53" s="21" t="str">
        <f>IFERROR(IF(INDEX(Cards!$C$4:$C$25,MATCH($B53,Cards!$A$4:$A$25,0))="any",$C53,INDEX(Cards!$C$4:$C$25,MATCH($B53,Cards!$A$4:$A$25,0))),"")</f>
        <v/>
      </c>
      <c r="F53" s="29">
        <f>IFERROR(INDEX(Cards!$D$4:$D$25,MATCH($B53,Cards!$A$4:$A$25,0)),0)</f>
        <v>0</v>
      </c>
      <c r="G53" s="29">
        <f>IFERROR(INDEX(Cards!$E$4:$E$25,MATCH($B53,Cards!$A$4:$A$25,0)),0)</f>
        <v>0</v>
      </c>
      <c r="H53" s="29">
        <f>IFERROR(INDEX(Cards!$I$4:$I$25,MATCH($B53,Cards!$A$4:$A$25,0)),0)</f>
        <v>0</v>
      </c>
      <c r="I53" s="21" t="str">
        <f>IFERROR(IF(INDEX(Cards!$J$4:$J$25,MATCH($B53,Cards!$A$4:$A$25,0))=0,"",INDEX(Cards!$J$4:$J$25,MATCH($B53,Cards!$A$4:$A$25,0))),"")</f>
        <v/>
      </c>
      <c r="J53" s="31">
        <f>IFERROR(INDEX(Cards!$H$4:$H$25,MATCH($B53,Cards!$A$4:$A$25,0)),0)</f>
        <v>0</v>
      </c>
      <c r="K53" s="31">
        <f>IFERROR(INDEX(Cards!$L$4:$L$25,MATCH($B53,Cards!$A$4:$A$25,0)),0)</f>
        <v>0</v>
      </c>
      <c r="L53" s="30">
        <f>IFERROR(INDEX(Cards!$G$4:$G$25,MATCH($B53,Cards!$A$4:$A$25,0)),0)</f>
        <v>0</v>
      </c>
      <c r="M53" s="33">
        <f>$L53*$B$4*Assumptions!$B$15</f>
        <v>0</v>
      </c>
      <c r="N53" s="31">
        <f t="shared" si="24"/>
        <v>0</v>
      </c>
      <c r="O53" s="42">
        <f t="shared" si="25"/>
        <v>1</v>
      </c>
      <c r="P53" s="52" t="str">
        <f t="shared" si="26"/>
        <v/>
      </c>
      <c r="Q53" s="44">
        <f t="shared" si="27"/>
        <v>0</v>
      </c>
    </row>
    <row r="54" spans="1:17" x14ac:dyDescent="0.4">
      <c r="A54" s="11"/>
      <c r="B54" s="40"/>
      <c r="C54" s="35"/>
      <c r="D54" s="16" t="str">
        <f>IFERROR(INDEX(Cards!$B$4:$B$25,MATCH($B54,Cards!$A$4:$A$25,0)),"")</f>
        <v/>
      </c>
      <c r="E54" s="18" t="str">
        <f>IFERROR(IF(INDEX(Cards!$C$4:$C$25,MATCH($B54,Cards!$A$4:$A$25,0))="any",$C54,INDEX(Cards!$C$4:$C$25,MATCH($B54,Cards!$A$4:$A$25,0))),"")</f>
        <v/>
      </c>
      <c r="F54" s="24">
        <f>IFERROR(INDEX(Cards!$D$4:$D$25,MATCH($B54,Cards!$A$4:$A$25,0)),0)</f>
        <v>0</v>
      </c>
      <c r="G54" s="24">
        <f>IFERROR(INDEX(Cards!$E$4:$E$25,MATCH($B54,Cards!$A$4:$A$25,0)),0)</f>
        <v>0</v>
      </c>
      <c r="H54" s="24">
        <f>IFERROR(INDEX(Cards!$I$4:$I$25,MATCH($B54,Cards!$A$4:$A$25,0)),0)</f>
        <v>0</v>
      </c>
      <c r="I54" s="18" t="str">
        <f>IFERROR(IF(INDEX(Cards!$J$4:$J$25,MATCH($B54,Cards!$A$4:$A$25,0))=0,"",INDEX(Cards!$J$4:$J$25,MATCH($B54,Cards!$A$4:$A$25,0))),"")</f>
        <v/>
      </c>
      <c r="J54" s="26">
        <f>IFERROR(INDEX(Cards!$H$4:$H$25,MATCH($B54,Cards!$A$4:$A$25,0)),0)</f>
        <v>0</v>
      </c>
      <c r="K54" s="26">
        <f>IFERROR(INDEX(Cards!$L$4:$L$25,MATCH($B54,Cards!$A$4:$A$25,0)),0)</f>
        <v>0</v>
      </c>
      <c r="L54" s="25">
        <f>IFERROR(INDEX(Cards!$G$4:$G$25,MATCH($B54,Cards!$A$4:$A$25,0)),0)</f>
        <v>0</v>
      </c>
      <c r="M54" s="28">
        <f>$L54*$B$4*Assumptions!$B$15</f>
        <v>0</v>
      </c>
      <c r="N54" s="26">
        <f t="shared" si="24"/>
        <v>0</v>
      </c>
      <c r="O54" s="48">
        <f t="shared" si="25"/>
        <v>1</v>
      </c>
      <c r="P54" s="53" t="str">
        <f t="shared" si="26"/>
        <v/>
      </c>
      <c r="Q54" s="50">
        <f t="shared" si="27"/>
        <v>0</v>
      </c>
    </row>
    <row r="55" spans="1:17" x14ac:dyDescent="0.4">
      <c r="A55" s="11"/>
      <c r="B55" s="40"/>
      <c r="C55" s="35"/>
      <c r="D55" s="20" t="str">
        <f>IFERROR(INDEX(Cards!$B$4:$B$25,MATCH($B55,Cards!$A$4:$A$25,0)),"")</f>
        <v/>
      </c>
      <c r="E55" s="21" t="str">
        <f>IFERROR(IF(INDEX(Cards!$C$4:$C$25,MATCH($B55,Cards!$A$4:$A$25,0))="any",$C55,INDEX(Cards!$C$4:$C$25,MATCH($B55,Cards!$A$4:$A$25,0))),"")</f>
        <v/>
      </c>
      <c r="F55" s="29">
        <f>IFERROR(INDEX(Cards!$D$4:$D$25,MATCH($B55,Cards!$A$4:$A$25,0)),0)</f>
        <v>0</v>
      </c>
      <c r="G55" s="29">
        <f>IFERROR(INDEX(Cards!$E$4:$E$25,MATCH($B55,Cards!$A$4:$A$25,0)),0)</f>
        <v>0</v>
      </c>
      <c r="H55" s="29">
        <f>IFERROR(INDEX(Cards!$I$4:$I$25,MATCH($B55,Cards!$A$4:$A$25,0)),0)</f>
        <v>0</v>
      </c>
      <c r="I55" s="21" t="str">
        <f>IFERROR(IF(INDEX(Cards!$J$4:$J$25,MATCH($B55,Cards!$A$4:$A$25,0))=0,"",INDEX(Cards!$J$4:$J$25,MATCH($B55,Cards!$A$4:$A$25,0))),"")</f>
        <v/>
      </c>
      <c r="J55" s="31">
        <f>IFERROR(INDEX(Cards!$H$4:$H$25,MATCH($B55,Cards!$A$4:$A$25,0)),0)</f>
        <v>0</v>
      </c>
      <c r="K55" s="31">
        <f>IFERROR(INDEX(Cards!$L$4:$L$25,MATCH($B55,Cards!$A$4:$A$25,0)),0)</f>
        <v>0</v>
      </c>
      <c r="L55" s="30">
        <f>IFERROR(INDEX(Cards!$G$4:$G$25,MATCH($B55,Cards!$A$4:$A$25,0)),0)</f>
        <v>0</v>
      </c>
      <c r="M55" s="33">
        <f>$L55*$B$4*Assumptions!$B$15</f>
        <v>0</v>
      </c>
      <c r="N55" s="31">
        <f t="shared" si="24"/>
        <v>0</v>
      </c>
      <c r="O55" s="42">
        <f t="shared" si="25"/>
        <v>1</v>
      </c>
      <c r="P55" s="52" t="str">
        <f t="shared" si="26"/>
        <v/>
      </c>
      <c r="Q55" s="44">
        <f t="shared" si="27"/>
        <v>0</v>
      </c>
    </row>
    <row r="56" spans="1:17" x14ac:dyDescent="0.4">
      <c r="A56" s="11"/>
      <c r="B56" s="40"/>
      <c r="C56" s="35"/>
      <c r="D56" s="16" t="str">
        <f>IFERROR(INDEX(Cards!$B$4:$B$25,MATCH($B56,Cards!$A$4:$A$25,0)),"")</f>
        <v/>
      </c>
      <c r="E56" s="18" t="str">
        <f>IFERROR(IF(INDEX(Cards!$C$4:$C$25,MATCH($B56,Cards!$A$4:$A$25,0))="any",$C56,INDEX(Cards!$C$4:$C$25,MATCH($B56,Cards!$A$4:$A$25,0))),"")</f>
        <v/>
      </c>
      <c r="F56" s="24">
        <f>IFERROR(INDEX(Cards!$D$4:$D$25,MATCH($B56,Cards!$A$4:$A$25,0)),0)</f>
        <v>0</v>
      </c>
      <c r="G56" s="24">
        <f>IFERROR(INDEX(Cards!$E$4:$E$25,MATCH($B56,Cards!$A$4:$A$25,0)),0)</f>
        <v>0</v>
      </c>
      <c r="H56" s="24">
        <f>IFERROR(INDEX(Cards!$I$4:$I$25,MATCH($B56,Cards!$A$4:$A$25,0)),0)</f>
        <v>0</v>
      </c>
      <c r="I56" s="18" t="str">
        <f>IFERROR(IF(INDEX(Cards!$J$4:$J$25,MATCH($B56,Cards!$A$4:$A$25,0))=0,"",INDEX(Cards!$J$4:$J$25,MATCH($B56,Cards!$A$4:$A$25,0))),"")</f>
        <v/>
      </c>
      <c r="J56" s="26">
        <f>IFERROR(INDEX(Cards!$H$4:$H$25,MATCH($B56,Cards!$A$4:$A$25,0)),0)</f>
        <v>0</v>
      </c>
      <c r="K56" s="26">
        <f>IFERROR(INDEX(Cards!$L$4:$L$25,MATCH($B56,Cards!$A$4:$A$25,0)),0)</f>
        <v>0</v>
      </c>
      <c r="L56" s="25">
        <f>IFERROR(INDEX(Cards!$G$4:$G$25,MATCH($B56,Cards!$A$4:$A$25,0)),0)</f>
        <v>0</v>
      </c>
      <c r="M56" s="28">
        <f>$L56*$B$4*Assumptions!$B$15</f>
        <v>0</v>
      </c>
      <c r="N56" s="26">
        <f t="shared" si="24"/>
        <v>0</v>
      </c>
      <c r="O56" s="48">
        <f t="shared" si="25"/>
        <v>1</v>
      </c>
      <c r="P56" s="53" t="str">
        <f t="shared" si="26"/>
        <v/>
      </c>
      <c r="Q56" s="50">
        <f t="shared" si="27"/>
        <v>0</v>
      </c>
    </row>
    <row r="57" spans="1:17" x14ac:dyDescent="0.4">
      <c r="A57" s="11"/>
      <c r="B57" s="40"/>
      <c r="C57" s="35"/>
      <c r="D57" s="20" t="str">
        <f>IFERROR(INDEX(Cards!$B$4:$B$25,MATCH($B57,Cards!$A$4:$A$25,0)),"")</f>
        <v/>
      </c>
      <c r="E57" s="21" t="str">
        <f>IFERROR(IF(INDEX(Cards!$C$4:$C$25,MATCH($B57,Cards!$A$4:$A$25,0))="any",$C57,INDEX(Cards!$C$4:$C$25,MATCH($B57,Cards!$A$4:$A$25,0))),"")</f>
        <v/>
      </c>
      <c r="F57" s="29">
        <f>IFERROR(INDEX(Cards!$D$4:$D$25,MATCH($B57,Cards!$A$4:$A$25,0)),0)</f>
        <v>0</v>
      </c>
      <c r="G57" s="29">
        <f>IFERROR(INDEX(Cards!$E$4:$E$25,MATCH($B57,Cards!$A$4:$A$25,0)),0)</f>
        <v>0</v>
      </c>
      <c r="H57" s="29">
        <f>IFERROR(INDEX(Cards!$I$4:$I$25,MATCH($B57,Cards!$A$4:$A$25,0)),0)</f>
        <v>0</v>
      </c>
      <c r="I57" s="21" t="str">
        <f>IFERROR(IF(INDEX(Cards!$J$4:$J$25,MATCH($B57,Cards!$A$4:$A$25,0))=0,"",INDEX(Cards!$J$4:$J$25,MATCH($B57,Cards!$A$4:$A$25,0))),"")</f>
        <v/>
      </c>
      <c r="J57" s="31">
        <f>IFERROR(INDEX(Cards!$H$4:$H$25,MATCH($B57,Cards!$A$4:$A$25,0)),0)</f>
        <v>0</v>
      </c>
      <c r="K57" s="31">
        <f>IFERROR(INDEX(Cards!$L$4:$L$25,MATCH($B57,Cards!$A$4:$A$25,0)),0)</f>
        <v>0</v>
      </c>
      <c r="L57" s="30">
        <f>IFERROR(INDEX(Cards!$G$4:$G$25,MATCH($B57,Cards!$A$4:$A$25,0)),0)</f>
        <v>0</v>
      </c>
      <c r="M57" s="33">
        <f>$L57*$B$4*Assumptions!$B$15</f>
        <v>0</v>
      </c>
      <c r="N57" s="31">
        <f t="shared" si="24"/>
        <v>0</v>
      </c>
      <c r="O57" s="42">
        <f t="shared" si="25"/>
        <v>1</v>
      </c>
      <c r="P57" s="52" t="str">
        <f t="shared" si="26"/>
        <v/>
      </c>
      <c r="Q57" s="44">
        <f t="shared" si="27"/>
        <v>0</v>
      </c>
    </row>
    <row r="58" spans="1:17" x14ac:dyDescent="0.4">
      <c r="A58" s="11"/>
      <c r="B58" s="40"/>
      <c r="C58" s="35"/>
      <c r="D58" s="16" t="str">
        <f>IFERROR(INDEX(Cards!$B$4:$B$25,MATCH($B58,Cards!$A$4:$A$25,0)),"")</f>
        <v/>
      </c>
      <c r="E58" s="18" t="str">
        <f>IFERROR(IF(INDEX(Cards!$C$4:$C$25,MATCH($B58,Cards!$A$4:$A$25,0))="any",$C58,INDEX(Cards!$C$4:$C$25,MATCH($B58,Cards!$A$4:$A$25,0))),"")</f>
        <v/>
      </c>
      <c r="F58" s="24">
        <f>IFERROR(INDEX(Cards!$D$4:$D$25,MATCH($B58,Cards!$A$4:$A$25,0)),0)</f>
        <v>0</v>
      </c>
      <c r="G58" s="24">
        <f>IFERROR(INDEX(Cards!$E$4:$E$25,MATCH($B58,Cards!$A$4:$A$25,0)),0)</f>
        <v>0</v>
      </c>
      <c r="H58" s="24">
        <f>IFERROR(INDEX(Cards!$I$4:$I$25,MATCH($B58,Cards!$A$4:$A$25,0)),0)</f>
        <v>0</v>
      </c>
      <c r="I58" s="18" t="str">
        <f>IFERROR(IF(INDEX(Cards!$J$4:$J$25,MATCH($B58,Cards!$A$4:$A$25,0))=0,"",INDEX(Cards!$J$4:$J$25,MATCH($B58,Cards!$A$4:$A$25,0))),"")</f>
        <v/>
      </c>
      <c r="J58" s="26">
        <f>IFERROR(INDEX(Cards!$H$4:$H$25,MATCH($B58,Cards!$A$4:$A$25,0)),0)</f>
        <v>0</v>
      </c>
      <c r="K58" s="26">
        <f>IFERROR(INDEX(Cards!$L$4:$L$25,MATCH($B58,Cards!$A$4:$A$25,0)),0)</f>
        <v>0</v>
      </c>
      <c r="L58" s="25">
        <f>IFERROR(INDEX(Cards!$G$4:$G$25,MATCH($B58,Cards!$A$4:$A$25,0)),0)</f>
        <v>0</v>
      </c>
      <c r="M58" s="28">
        <f>$L58*$B$4*Assumptions!$B$15</f>
        <v>0</v>
      </c>
      <c r="N58" s="26">
        <f t="shared" si="24"/>
        <v>0</v>
      </c>
      <c r="O58" s="48">
        <f t="shared" si="25"/>
        <v>1</v>
      </c>
      <c r="P58" s="53" t="str">
        <f t="shared" si="26"/>
        <v/>
      </c>
      <c r="Q58" s="50">
        <f t="shared" si="27"/>
        <v>0</v>
      </c>
    </row>
    <row r="59" spans="1:17" x14ac:dyDescent="0.4">
      <c r="A59" s="11"/>
      <c r="B59" s="40"/>
      <c r="C59" s="35"/>
      <c r="D59" s="20" t="str">
        <f>IFERROR(INDEX(Cards!$B$4:$B$25,MATCH($B59,Cards!$A$4:$A$25,0)),"")</f>
        <v/>
      </c>
      <c r="E59" s="21" t="str">
        <f>IFERROR(IF(INDEX(Cards!$C$4:$C$25,MATCH($B59,Cards!$A$4:$A$25,0))="any",$C59,INDEX(Cards!$C$4:$C$25,MATCH($B59,Cards!$A$4:$A$25,0))),"")</f>
        <v/>
      </c>
      <c r="F59" s="29">
        <f>IFERROR(INDEX(Cards!$D$4:$D$25,MATCH($B59,Cards!$A$4:$A$25,0)),0)</f>
        <v>0</v>
      </c>
      <c r="G59" s="29">
        <f>IFERROR(INDEX(Cards!$E$4:$E$25,MATCH($B59,Cards!$A$4:$A$25,0)),0)</f>
        <v>0</v>
      </c>
      <c r="H59" s="29">
        <f>IFERROR(INDEX(Cards!$I$4:$I$25,MATCH($B59,Cards!$A$4:$A$25,0)),0)</f>
        <v>0</v>
      </c>
      <c r="I59" s="21" t="str">
        <f>IFERROR(IF(INDEX(Cards!$J$4:$J$25,MATCH($B59,Cards!$A$4:$A$25,0))=0,"",INDEX(Cards!$J$4:$J$25,MATCH($B59,Cards!$A$4:$A$25,0))),"")</f>
        <v/>
      </c>
      <c r="J59" s="31">
        <f>IFERROR(INDEX(Cards!$H$4:$H$25,MATCH($B59,Cards!$A$4:$A$25,0)),0)</f>
        <v>0</v>
      </c>
      <c r="K59" s="31">
        <f>IFERROR(INDEX(Cards!$L$4:$L$25,MATCH($B59,Cards!$A$4:$A$25,0)),0)</f>
        <v>0</v>
      </c>
      <c r="L59" s="30">
        <f>IFERROR(INDEX(Cards!$G$4:$G$25,MATCH($B59,Cards!$A$4:$A$25,0)),0)</f>
        <v>0</v>
      </c>
      <c r="M59" s="33">
        <f>$L59*$B$4*Assumptions!$B$15</f>
        <v>0</v>
      </c>
      <c r="N59" s="31">
        <f t="shared" si="24"/>
        <v>0</v>
      </c>
      <c r="O59" s="42">
        <f t="shared" si="25"/>
        <v>1</v>
      </c>
      <c r="P59" s="52" t="str">
        <f t="shared" si="26"/>
        <v/>
      </c>
      <c r="Q59" s="44">
        <f t="shared" si="27"/>
        <v>0</v>
      </c>
    </row>
    <row r="60" spans="1:17" x14ac:dyDescent="0.4">
      <c r="A60" s="11"/>
      <c r="B60" s="40"/>
      <c r="C60" s="35"/>
      <c r="D60" s="16" t="str">
        <f>IFERROR(INDEX(Cards!$B$4:$B$25,MATCH($B60,Cards!$A$4:$A$25,0)),"")</f>
        <v/>
      </c>
      <c r="E60" s="18" t="str">
        <f>IFERROR(IF(INDEX(Cards!$C$4:$C$25,MATCH($B60,Cards!$A$4:$A$25,0))="any",$C60,INDEX(Cards!$C$4:$C$25,MATCH($B60,Cards!$A$4:$A$25,0))),"")</f>
        <v/>
      </c>
      <c r="F60" s="24">
        <f>IFERROR(INDEX(Cards!$D$4:$D$25,MATCH($B60,Cards!$A$4:$A$25,0)),0)</f>
        <v>0</v>
      </c>
      <c r="G60" s="24">
        <f>IFERROR(INDEX(Cards!$E$4:$E$25,MATCH($B60,Cards!$A$4:$A$25,0)),0)</f>
        <v>0</v>
      </c>
      <c r="H60" s="24">
        <f>IFERROR(INDEX(Cards!$I$4:$I$25,MATCH($B60,Cards!$A$4:$A$25,0)),0)</f>
        <v>0</v>
      </c>
      <c r="I60" s="18" t="str">
        <f>IFERROR(IF(INDEX(Cards!$J$4:$J$25,MATCH($B60,Cards!$A$4:$A$25,0))=0,"",INDEX(Cards!$J$4:$J$25,MATCH($B60,Cards!$A$4:$A$25,0))),"")</f>
        <v/>
      </c>
      <c r="J60" s="26">
        <f>IFERROR(INDEX(Cards!$H$4:$H$25,MATCH($B60,Cards!$A$4:$A$25,0)),0)</f>
        <v>0</v>
      </c>
      <c r="K60" s="26">
        <f>IFERROR(INDEX(Cards!$L$4:$L$25,MATCH($B60,Cards!$A$4:$A$25,0)),0)</f>
        <v>0</v>
      </c>
      <c r="L60" s="25">
        <f>IFERROR(INDEX(Cards!$G$4:$G$25,MATCH($B60,Cards!$A$4:$A$25,0)),0)</f>
        <v>0</v>
      </c>
      <c r="M60" s="28">
        <f>$L60*$B$4*Assumptions!$B$15</f>
        <v>0</v>
      </c>
      <c r="N60" s="26">
        <f t="shared" si="24"/>
        <v>0</v>
      </c>
      <c r="O60" s="48">
        <f t="shared" si="25"/>
        <v>1</v>
      </c>
      <c r="P60" s="53" t="str">
        <f t="shared" si="26"/>
        <v/>
      </c>
      <c r="Q60" s="50">
        <f t="shared" si="27"/>
        <v>0</v>
      </c>
    </row>
    <row r="61" spans="1:17" x14ac:dyDescent="0.4">
      <c r="A61" s="11"/>
      <c r="B61" s="40"/>
      <c r="C61" s="35"/>
      <c r="D61" s="20" t="str">
        <f>IFERROR(INDEX(Cards!$B$4:$B$25,MATCH($B61,Cards!$A$4:$A$25,0)),"")</f>
        <v/>
      </c>
      <c r="E61" s="21" t="str">
        <f>IFERROR(IF(INDEX(Cards!$C$4:$C$25,MATCH($B61,Cards!$A$4:$A$25,0))="any",$C61,INDEX(Cards!$C$4:$C$25,MATCH($B61,Cards!$A$4:$A$25,0))),"")</f>
        <v/>
      </c>
      <c r="F61" s="29">
        <f>IFERROR(INDEX(Cards!$D$4:$D$25,MATCH($B61,Cards!$A$4:$A$25,0)),0)</f>
        <v>0</v>
      </c>
      <c r="G61" s="29">
        <f>IFERROR(INDEX(Cards!$E$4:$E$25,MATCH($B61,Cards!$A$4:$A$25,0)),0)</f>
        <v>0</v>
      </c>
      <c r="H61" s="29">
        <f>IFERROR(INDEX(Cards!$I$4:$I$25,MATCH($B61,Cards!$A$4:$A$25,0)),0)</f>
        <v>0</v>
      </c>
      <c r="I61" s="21" t="str">
        <f>IFERROR(IF(INDEX(Cards!$J$4:$J$25,MATCH($B61,Cards!$A$4:$A$25,0))=0,"",INDEX(Cards!$J$4:$J$25,MATCH($B61,Cards!$A$4:$A$25,0))),"")</f>
        <v/>
      </c>
      <c r="J61" s="31">
        <f>IFERROR(INDEX(Cards!$H$4:$H$25,MATCH($B61,Cards!$A$4:$A$25,0)),0)</f>
        <v>0</v>
      </c>
      <c r="K61" s="31">
        <f>IFERROR(INDEX(Cards!$L$4:$L$25,MATCH($B61,Cards!$A$4:$A$25,0)),0)</f>
        <v>0</v>
      </c>
      <c r="L61" s="30">
        <f>IFERROR(INDEX(Cards!$G$4:$G$25,MATCH($B61,Cards!$A$4:$A$25,0)),0)</f>
        <v>0</v>
      </c>
      <c r="M61" s="33">
        <f>$L61*$B$4*Assumptions!$B$15</f>
        <v>0</v>
      </c>
      <c r="N61" s="31">
        <f t="shared" si="24"/>
        <v>0</v>
      </c>
      <c r="O61" s="42">
        <f t="shared" si="25"/>
        <v>1</v>
      </c>
      <c r="P61" s="52" t="str">
        <f t="shared" si="26"/>
        <v/>
      </c>
      <c r="Q61" s="44">
        <f t="shared" si="27"/>
        <v>0</v>
      </c>
    </row>
    <row r="62" spans="1:17" x14ac:dyDescent="0.4">
      <c r="A62" s="11"/>
      <c r="B62" s="40"/>
      <c r="C62" s="35"/>
      <c r="D62" s="16" t="str">
        <f>IFERROR(INDEX(Cards!$B$4:$B$25,MATCH($B62,Cards!$A$4:$A$25,0)),"")</f>
        <v/>
      </c>
      <c r="E62" s="18" t="str">
        <f>IFERROR(IF(INDEX(Cards!$C$4:$C$25,MATCH($B62,Cards!$A$4:$A$25,0))="any",$C62,INDEX(Cards!$C$4:$C$25,MATCH($B62,Cards!$A$4:$A$25,0))),"")</f>
        <v/>
      </c>
      <c r="F62" s="24">
        <f>IFERROR(INDEX(Cards!$D$4:$D$25,MATCH($B62,Cards!$A$4:$A$25,0)),0)</f>
        <v>0</v>
      </c>
      <c r="G62" s="24">
        <f>IFERROR(INDEX(Cards!$E$4:$E$25,MATCH($B62,Cards!$A$4:$A$25,0)),0)</f>
        <v>0</v>
      </c>
      <c r="H62" s="24">
        <f>IFERROR(INDEX(Cards!$I$4:$I$25,MATCH($B62,Cards!$A$4:$A$25,0)),0)</f>
        <v>0</v>
      </c>
      <c r="I62" s="18" t="str">
        <f>IFERROR(IF(INDEX(Cards!$J$4:$J$25,MATCH($B62,Cards!$A$4:$A$25,0))=0,"",INDEX(Cards!$J$4:$J$25,MATCH($B62,Cards!$A$4:$A$25,0))),"")</f>
        <v/>
      </c>
      <c r="J62" s="26">
        <f>IFERROR(INDEX(Cards!$H$4:$H$25,MATCH($B62,Cards!$A$4:$A$25,0)),0)</f>
        <v>0</v>
      </c>
      <c r="K62" s="26">
        <f>IFERROR(INDEX(Cards!$L$4:$L$25,MATCH($B62,Cards!$A$4:$A$25,0)),0)</f>
        <v>0</v>
      </c>
      <c r="L62" s="25">
        <f>IFERROR(INDEX(Cards!$G$4:$G$25,MATCH($B62,Cards!$A$4:$A$25,0)),0)</f>
        <v>0</v>
      </c>
      <c r="M62" s="28">
        <f>$L62*$B$4*Assumptions!$B$15</f>
        <v>0</v>
      </c>
      <c r="N62" s="26">
        <f t="shared" si="24"/>
        <v>0</v>
      </c>
      <c r="O62" s="48">
        <f t="shared" si="25"/>
        <v>1</v>
      </c>
      <c r="P62" s="53" t="str">
        <f t="shared" si="26"/>
        <v/>
      </c>
      <c r="Q62" s="50">
        <f t="shared" si="27"/>
        <v>0</v>
      </c>
    </row>
    <row r="63" spans="1:17" x14ac:dyDescent="0.4">
      <c r="A63" s="11"/>
      <c r="B63" s="40"/>
      <c r="C63" s="35"/>
      <c r="D63" s="20" t="str">
        <f>IFERROR(INDEX(Cards!$B$4:$B$25,MATCH($B63,Cards!$A$4:$A$25,0)),"")</f>
        <v/>
      </c>
      <c r="E63" s="21" t="str">
        <f>IFERROR(IF(INDEX(Cards!$C$4:$C$25,MATCH($B63,Cards!$A$4:$A$25,0))="any",$C63,INDEX(Cards!$C$4:$C$25,MATCH($B63,Cards!$A$4:$A$25,0))),"")</f>
        <v/>
      </c>
      <c r="F63" s="29">
        <f>IFERROR(INDEX(Cards!$D$4:$D$25,MATCH($B63,Cards!$A$4:$A$25,0)),0)</f>
        <v>0</v>
      </c>
      <c r="G63" s="29">
        <f>IFERROR(INDEX(Cards!$E$4:$E$25,MATCH($B63,Cards!$A$4:$A$25,0)),0)</f>
        <v>0</v>
      </c>
      <c r="H63" s="29">
        <f>IFERROR(INDEX(Cards!$I$4:$I$25,MATCH($B63,Cards!$A$4:$A$25,0)),0)</f>
        <v>0</v>
      </c>
      <c r="I63" s="21" t="str">
        <f>IFERROR(IF(INDEX(Cards!$J$4:$J$25,MATCH($B63,Cards!$A$4:$A$25,0))=0,"",INDEX(Cards!$J$4:$J$25,MATCH($B63,Cards!$A$4:$A$25,0))),"")</f>
        <v/>
      </c>
      <c r="J63" s="31">
        <f>IFERROR(INDEX(Cards!$H$4:$H$25,MATCH($B63,Cards!$A$4:$A$25,0)),0)</f>
        <v>0</v>
      </c>
      <c r="K63" s="31">
        <f>IFERROR(INDEX(Cards!$L$4:$L$25,MATCH($B63,Cards!$A$4:$A$25,0)),0)</f>
        <v>0</v>
      </c>
      <c r="L63" s="30">
        <f>IFERROR(INDEX(Cards!$G$4:$G$25,MATCH($B63,Cards!$A$4:$A$25,0)),0)</f>
        <v>0</v>
      </c>
      <c r="M63" s="33">
        <f>$L63*$B$4*Assumptions!$B$15</f>
        <v>0</v>
      </c>
      <c r="N63" s="31">
        <f t="shared" si="24"/>
        <v>0</v>
      </c>
      <c r="O63" s="42">
        <f t="shared" si="25"/>
        <v>1</v>
      </c>
      <c r="P63" s="52" t="str">
        <f t="shared" si="26"/>
        <v/>
      </c>
      <c r="Q63" s="44">
        <f t="shared" si="27"/>
        <v>0</v>
      </c>
    </row>
    <row r="64" spans="1:17" x14ac:dyDescent="0.4">
      <c r="A64" s="11"/>
      <c r="B64" s="40"/>
      <c r="C64" s="35"/>
      <c r="D64" s="16" t="str">
        <f>IFERROR(INDEX(Cards!$B$4:$B$25,MATCH($B64,Cards!$A$4:$A$25,0)),"")</f>
        <v/>
      </c>
      <c r="E64" s="18" t="str">
        <f>IFERROR(IF(INDEX(Cards!$C$4:$C$25,MATCH($B64,Cards!$A$4:$A$25,0))="any",$C64,INDEX(Cards!$C$4:$C$25,MATCH($B64,Cards!$A$4:$A$25,0))),"")</f>
        <v/>
      </c>
      <c r="F64" s="24">
        <f>IFERROR(INDEX(Cards!$D$4:$D$25,MATCH($B64,Cards!$A$4:$A$25,0)),0)</f>
        <v>0</v>
      </c>
      <c r="G64" s="24">
        <f>IFERROR(INDEX(Cards!$E$4:$E$25,MATCH($B64,Cards!$A$4:$A$25,0)),0)</f>
        <v>0</v>
      </c>
      <c r="H64" s="24">
        <f>IFERROR(INDEX(Cards!$I$4:$I$25,MATCH($B64,Cards!$A$4:$A$25,0)),0)</f>
        <v>0</v>
      </c>
      <c r="I64" s="18" t="str">
        <f>IFERROR(IF(INDEX(Cards!$J$4:$J$25,MATCH($B64,Cards!$A$4:$A$25,0))=0,"",INDEX(Cards!$J$4:$J$25,MATCH($B64,Cards!$A$4:$A$25,0))),"")</f>
        <v/>
      </c>
      <c r="J64" s="26">
        <f>IFERROR(INDEX(Cards!$H$4:$H$25,MATCH($B64,Cards!$A$4:$A$25,0)),0)</f>
        <v>0</v>
      </c>
      <c r="K64" s="26">
        <f>IFERROR(INDEX(Cards!$L$4:$L$25,MATCH($B64,Cards!$A$4:$A$25,0)),0)</f>
        <v>0</v>
      </c>
      <c r="L64" s="25">
        <f>IFERROR(INDEX(Cards!$G$4:$G$25,MATCH($B64,Cards!$A$4:$A$25,0)),0)</f>
        <v>0</v>
      </c>
      <c r="M64" s="28">
        <f>$L64*$B$4*Assumptions!$B$15</f>
        <v>0</v>
      </c>
      <c r="N64" s="26">
        <f t="shared" si="24"/>
        <v>0</v>
      </c>
      <c r="O64" s="48">
        <f t="shared" si="25"/>
        <v>1</v>
      </c>
      <c r="P64" s="53" t="str">
        <f t="shared" si="26"/>
        <v/>
      </c>
      <c r="Q64" s="50">
        <f t="shared" si="27"/>
        <v>0</v>
      </c>
    </row>
    <row r="65" spans="1:17" x14ac:dyDescent="0.4">
      <c r="A65" s="11"/>
      <c r="B65" s="40"/>
      <c r="C65" s="35"/>
      <c r="D65" s="20" t="str">
        <f>IFERROR(INDEX(Cards!$B$4:$B$25,MATCH($B65,Cards!$A$4:$A$25,0)),"")</f>
        <v/>
      </c>
      <c r="E65" s="21" t="str">
        <f>IFERROR(IF(INDEX(Cards!$C$4:$C$25,MATCH($B65,Cards!$A$4:$A$25,0))="any",$C65,INDEX(Cards!$C$4:$C$25,MATCH($B65,Cards!$A$4:$A$25,0))),"")</f>
        <v/>
      </c>
      <c r="F65" s="29">
        <f>IFERROR(INDEX(Cards!$D$4:$D$25,MATCH($B65,Cards!$A$4:$A$25,0)),0)</f>
        <v>0</v>
      </c>
      <c r="G65" s="29">
        <f>IFERROR(INDEX(Cards!$E$4:$E$25,MATCH($B65,Cards!$A$4:$A$25,0)),0)</f>
        <v>0</v>
      </c>
      <c r="H65" s="29">
        <f>IFERROR(INDEX(Cards!$I$4:$I$25,MATCH($B65,Cards!$A$4:$A$25,0)),0)</f>
        <v>0</v>
      </c>
      <c r="I65" s="21" t="str">
        <f>IFERROR(IF(INDEX(Cards!$J$4:$J$25,MATCH($B65,Cards!$A$4:$A$25,0))=0,"",INDEX(Cards!$J$4:$J$25,MATCH($B65,Cards!$A$4:$A$25,0))),"")</f>
        <v/>
      </c>
      <c r="J65" s="31">
        <f>IFERROR(INDEX(Cards!$H$4:$H$25,MATCH($B65,Cards!$A$4:$A$25,0)),0)</f>
        <v>0</v>
      </c>
      <c r="K65" s="31">
        <f>IFERROR(INDEX(Cards!$L$4:$L$25,MATCH($B65,Cards!$A$4:$A$25,0)),0)</f>
        <v>0</v>
      </c>
      <c r="L65" s="30">
        <f>IFERROR(INDEX(Cards!$G$4:$G$25,MATCH($B65,Cards!$A$4:$A$25,0)),0)</f>
        <v>0</v>
      </c>
      <c r="M65" s="33">
        <f>$L65*$B$4*Assumptions!$B$15</f>
        <v>0</v>
      </c>
      <c r="N65" s="31">
        <f t="shared" si="24"/>
        <v>0</v>
      </c>
      <c r="O65" s="42">
        <f t="shared" si="25"/>
        <v>1</v>
      </c>
      <c r="P65" s="52" t="str">
        <f t="shared" si="26"/>
        <v/>
      </c>
      <c r="Q65" s="44">
        <f t="shared" si="27"/>
        <v>0</v>
      </c>
    </row>
    <row r="66" spans="1:17" x14ac:dyDescent="0.4">
      <c r="A66" s="11"/>
      <c r="B66" s="40"/>
      <c r="C66" s="35"/>
      <c r="D66" s="16" t="str">
        <f>IFERROR(INDEX(Cards!$B$4:$B$25,MATCH($B66,Cards!$A$4:$A$25,0)),"")</f>
        <v/>
      </c>
      <c r="E66" s="18" t="str">
        <f>IFERROR(IF(INDEX(Cards!$C$4:$C$25,MATCH($B66,Cards!$A$4:$A$25,0))="any",$C66,INDEX(Cards!$C$4:$C$25,MATCH($B66,Cards!$A$4:$A$25,0))),"")</f>
        <v/>
      </c>
      <c r="F66" s="24">
        <f>IFERROR(INDEX(Cards!$D$4:$D$25,MATCH($B66,Cards!$A$4:$A$25,0)),0)</f>
        <v>0</v>
      </c>
      <c r="G66" s="24">
        <f>IFERROR(INDEX(Cards!$E$4:$E$25,MATCH($B66,Cards!$A$4:$A$25,0)),0)</f>
        <v>0</v>
      </c>
      <c r="H66" s="24">
        <f>IFERROR(INDEX(Cards!$I$4:$I$25,MATCH($B66,Cards!$A$4:$A$25,0)),0)</f>
        <v>0</v>
      </c>
      <c r="I66" s="18" t="str">
        <f>IFERROR(IF(INDEX(Cards!$J$4:$J$25,MATCH($B66,Cards!$A$4:$A$25,0))=0,"",INDEX(Cards!$J$4:$J$25,MATCH($B66,Cards!$A$4:$A$25,0))),"")</f>
        <v/>
      </c>
      <c r="J66" s="26">
        <f>IFERROR(INDEX(Cards!$H$4:$H$25,MATCH($B66,Cards!$A$4:$A$25,0)),0)</f>
        <v>0</v>
      </c>
      <c r="K66" s="26">
        <f>IFERROR(INDEX(Cards!$L$4:$L$25,MATCH($B66,Cards!$A$4:$A$25,0)),0)</f>
        <v>0</v>
      </c>
      <c r="L66" s="25">
        <f>IFERROR(INDEX(Cards!$G$4:$G$25,MATCH($B66,Cards!$A$4:$A$25,0)),0)</f>
        <v>0</v>
      </c>
      <c r="M66" s="28">
        <f>$L66*$B$4*Assumptions!$B$15</f>
        <v>0</v>
      </c>
      <c r="N66" s="26">
        <f t="shared" si="24"/>
        <v>0</v>
      </c>
      <c r="O66" s="48">
        <f t="shared" si="25"/>
        <v>1</v>
      </c>
      <c r="P66" s="53" t="str">
        <f t="shared" si="26"/>
        <v/>
      </c>
      <c r="Q66" s="50">
        <f t="shared" si="27"/>
        <v>0</v>
      </c>
    </row>
    <row r="67" spans="1:17" x14ac:dyDescent="0.4">
      <c r="A67" s="11"/>
      <c r="B67" s="40"/>
      <c r="C67" s="35"/>
      <c r="D67" s="20" t="str">
        <f>IFERROR(INDEX(Cards!$B$4:$B$25,MATCH($B67,Cards!$A$4:$A$25,0)),"")</f>
        <v/>
      </c>
      <c r="E67" s="21" t="str">
        <f>IFERROR(IF(INDEX(Cards!$C$4:$C$25,MATCH($B67,Cards!$A$4:$A$25,0))="any",$C67,INDEX(Cards!$C$4:$C$25,MATCH($B67,Cards!$A$4:$A$25,0))),"")</f>
        <v/>
      </c>
      <c r="F67" s="29">
        <f>IFERROR(INDEX(Cards!$D$4:$D$25,MATCH($B67,Cards!$A$4:$A$25,0)),0)</f>
        <v>0</v>
      </c>
      <c r="G67" s="29">
        <f>IFERROR(INDEX(Cards!$E$4:$E$25,MATCH($B67,Cards!$A$4:$A$25,0)),0)</f>
        <v>0</v>
      </c>
      <c r="H67" s="29">
        <f>IFERROR(INDEX(Cards!$I$4:$I$25,MATCH($B67,Cards!$A$4:$A$25,0)),0)</f>
        <v>0</v>
      </c>
      <c r="I67" s="21" t="str">
        <f>IFERROR(IF(INDEX(Cards!$J$4:$J$25,MATCH($B67,Cards!$A$4:$A$25,0))=0,"",INDEX(Cards!$J$4:$J$25,MATCH($B67,Cards!$A$4:$A$25,0))),"")</f>
        <v/>
      </c>
      <c r="J67" s="31">
        <f>IFERROR(INDEX(Cards!$H$4:$H$25,MATCH($B67,Cards!$A$4:$A$25,0)),0)</f>
        <v>0</v>
      </c>
      <c r="K67" s="31">
        <f>IFERROR(INDEX(Cards!$L$4:$L$25,MATCH($B67,Cards!$A$4:$A$25,0)),0)</f>
        <v>0</v>
      </c>
      <c r="L67" s="30">
        <f>IFERROR(INDEX(Cards!$G$4:$G$25,MATCH($B67,Cards!$A$4:$A$25,0)),0)</f>
        <v>0</v>
      </c>
      <c r="M67" s="33">
        <f>$L67*$B$4*Assumptions!$B$15</f>
        <v>0</v>
      </c>
      <c r="N67" s="31">
        <f t="shared" si="24"/>
        <v>0</v>
      </c>
      <c r="O67" s="42">
        <f t="shared" si="25"/>
        <v>1</v>
      </c>
      <c r="P67" s="52" t="str">
        <f t="shared" si="26"/>
        <v/>
      </c>
      <c r="Q67" s="44">
        <f t="shared" si="27"/>
        <v>0</v>
      </c>
    </row>
    <row r="68" spans="1:17" x14ac:dyDescent="0.4">
      <c r="A68" s="11"/>
      <c r="B68" s="40"/>
      <c r="C68" s="35"/>
      <c r="D68" s="16" t="str">
        <f>IFERROR(INDEX(Cards!$B$4:$B$25,MATCH($B68,Cards!$A$4:$A$25,0)),"")</f>
        <v/>
      </c>
      <c r="E68" s="18" t="str">
        <f>IFERROR(IF(INDEX(Cards!$C$4:$C$25,MATCH($B68,Cards!$A$4:$A$25,0))="any",$C68,INDEX(Cards!$C$4:$C$25,MATCH($B68,Cards!$A$4:$A$25,0))),"")</f>
        <v/>
      </c>
      <c r="F68" s="24">
        <f>IFERROR(INDEX(Cards!$D$4:$D$25,MATCH($B68,Cards!$A$4:$A$25,0)),0)</f>
        <v>0</v>
      </c>
      <c r="G68" s="24">
        <f>IFERROR(INDEX(Cards!$E$4:$E$25,MATCH($B68,Cards!$A$4:$A$25,0)),0)</f>
        <v>0</v>
      </c>
      <c r="H68" s="24">
        <f>IFERROR(INDEX(Cards!$I$4:$I$25,MATCH($B68,Cards!$A$4:$A$25,0)),0)</f>
        <v>0</v>
      </c>
      <c r="I68" s="18" t="str">
        <f>IFERROR(IF(INDEX(Cards!$J$4:$J$25,MATCH($B68,Cards!$A$4:$A$25,0))=0,"",INDEX(Cards!$J$4:$J$25,MATCH($B68,Cards!$A$4:$A$25,0))),"")</f>
        <v/>
      </c>
      <c r="J68" s="26">
        <f>IFERROR(INDEX(Cards!$H$4:$H$25,MATCH($B68,Cards!$A$4:$A$25,0)),0)</f>
        <v>0</v>
      </c>
      <c r="K68" s="26">
        <f>IFERROR(INDEX(Cards!$L$4:$L$25,MATCH($B68,Cards!$A$4:$A$25,0)),0)</f>
        <v>0</v>
      </c>
      <c r="L68" s="25">
        <f>IFERROR(INDEX(Cards!$G$4:$G$25,MATCH($B68,Cards!$A$4:$A$25,0)),0)</f>
        <v>0</v>
      </c>
      <c r="M68" s="28">
        <f>$L68*$B$4*Assumptions!$B$15</f>
        <v>0</v>
      </c>
      <c r="N68" s="26">
        <f t="shared" si="24"/>
        <v>0</v>
      </c>
      <c r="O68" s="48">
        <f t="shared" si="25"/>
        <v>1</v>
      </c>
      <c r="P68" s="53" t="str">
        <f t="shared" si="26"/>
        <v/>
      </c>
      <c r="Q68" s="50">
        <f t="shared" si="27"/>
        <v>0</v>
      </c>
    </row>
    <row r="69" spans="1:17" x14ac:dyDescent="0.4">
      <c r="A69" s="11"/>
      <c r="B69" s="40"/>
      <c r="C69" s="35"/>
      <c r="D69" s="20" t="str">
        <f>IFERROR(INDEX(Cards!$B$4:$B$25,MATCH($B69,Cards!$A$4:$A$25,0)),"")</f>
        <v/>
      </c>
      <c r="E69" s="21" t="str">
        <f>IFERROR(IF(INDEX(Cards!$C$4:$C$25,MATCH($B69,Cards!$A$4:$A$25,0))="any",$C69,INDEX(Cards!$C$4:$C$25,MATCH($B69,Cards!$A$4:$A$25,0))),"")</f>
        <v/>
      </c>
      <c r="F69" s="29">
        <f>IFERROR(INDEX(Cards!$D$4:$D$25,MATCH($B69,Cards!$A$4:$A$25,0)),0)</f>
        <v>0</v>
      </c>
      <c r="G69" s="29">
        <f>IFERROR(INDEX(Cards!$E$4:$E$25,MATCH($B69,Cards!$A$4:$A$25,0)),0)</f>
        <v>0</v>
      </c>
      <c r="H69" s="29">
        <f>IFERROR(INDEX(Cards!$I$4:$I$25,MATCH($B69,Cards!$A$4:$A$25,0)),0)</f>
        <v>0</v>
      </c>
      <c r="I69" s="21" t="str">
        <f>IFERROR(IF(INDEX(Cards!$J$4:$J$25,MATCH($B69,Cards!$A$4:$A$25,0))=0,"",INDEX(Cards!$J$4:$J$25,MATCH($B69,Cards!$A$4:$A$25,0))),"")</f>
        <v/>
      </c>
      <c r="J69" s="31">
        <f>IFERROR(INDEX(Cards!$H$4:$H$25,MATCH($B69,Cards!$A$4:$A$25,0)),0)</f>
        <v>0</v>
      </c>
      <c r="K69" s="31">
        <f>IFERROR(INDEX(Cards!$L$4:$L$25,MATCH($B69,Cards!$A$4:$A$25,0)),0)</f>
        <v>0</v>
      </c>
      <c r="L69" s="30">
        <f>IFERROR(INDEX(Cards!$G$4:$G$25,MATCH($B69,Cards!$A$4:$A$25,0)),0)</f>
        <v>0</v>
      </c>
      <c r="M69" s="33">
        <f>$L69*$B$4*Assumptions!$B$15</f>
        <v>0</v>
      </c>
      <c r="N69" s="31">
        <f t="shared" si="24"/>
        <v>0</v>
      </c>
      <c r="O69" s="42">
        <f t="shared" si="25"/>
        <v>1</v>
      </c>
      <c r="P69" s="52" t="str">
        <f t="shared" si="26"/>
        <v/>
      </c>
      <c r="Q69" s="44">
        <f t="shared" si="27"/>
        <v>0</v>
      </c>
    </row>
    <row r="70" spans="1:17" x14ac:dyDescent="0.4">
      <c r="A70" s="11"/>
      <c r="B70" s="40"/>
      <c r="C70" s="35"/>
      <c r="D70" s="16" t="str">
        <f>IFERROR(INDEX(Cards!$B$4:$B$25,MATCH($B70,Cards!$A$4:$A$25,0)),"")</f>
        <v/>
      </c>
      <c r="E70" s="18" t="str">
        <f>IFERROR(IF(INDEX(Cards!$C$4:$C$25,MATCH($B70,Cards!$A$4:$A$25,0))="any",$C70,INDEX(Cards!$C$4:$C$25,MATCH($B70,Cards!$A$4:$A$25,0))),"")</f>
        <v/>
      </c>
      <c r="F70" s="24">
        <f>IFERROR(INDEX(Cards!$D$4:$D$25,MATCH($B70,Cards!$A$4:$A$25,0)),0)</f>
        <v>0</v>
      </c>
      <c r="G70" s="24">
        <f>IFERROR(INDEX(Cards!$E$4:$E$25,MATCH($B70,Cards!$A$4:$A$25,0)),0)</f>
        <v>0</v>
      </c>
      <c r="H70" s="24">
        <f>IFERROR(INDEX(Cards!$I$4:$I$25,MATCH($B70,Cards!$A$4:$A$25,0)),0)</f>
        <v>0</v>
      </c>
      <c r="I70" s="18" t="str">
        <f>IFERROR(IF(INDEX(Cards!$J$4:$J$25,MATCH($B70,Cards!$A$4:$A$25,0))=0,"",INDEX(Cards!$J$4:$J$25,MATCH($B70,Cards!$A$4:$A$25,0))),"")</f>
        <v/>
      </c>
      <c r="J70" s="26">
        <f>IFERROR(INDEX(Cards!$H$4:$H$25,MATCH($B70,Cards!$A$4:$A$25,0)),0)</f>
        <v>0</v>
      </c>
      <c r="K70" s="26">
        <f>IFERROR(INDEX(Cards!$L$4:$L$25,MATCH($B70,Cards!$A$4:$A$25,0)),0)</f>
        <v>0</v>
      </c>
      <c r="L70" s="25">
        <f>IFERROR(INDEX(Cards!$G$4:$G$25,MATCH($B70,Cards!$A$4:$A$25,0)),0)</f>
        <v>0</v>
      </c>
      <c r="M70" s="28">
        <f>$L70*$B$4*Assumptions!$B$15</f>
        <v>0</v>
      </c>
      <c r="N70" s="26">
        <f t="shared" si="24"/>
        <v>0</v>
      </c>
      <c r="O70" s="48">
        <f t="shared" si="25"/>
        <v>1</v>
      </c>
      <c r="P70" s="53" t="str">
        <f t="shared" si="26"/>
        <v/>
      </c>
      <c r="Q70" s="50">
        <f t="shared" si="27"/>
        <v>0</v>
      </c>
    </row>
    <row r="71" spans="1:17" x14ac:dyDescent="0.4">
      <c r="A71" s="11"/>
      <c r="B71" s="40"/>
      <c r="C71" s="35"/>
      <c r="D71" s="20" t="str">
        <f>IFERROR(INDEX(Cards!$B$4:$B$25,MATCH($B71,Cards!$A$4:$A$25,0)),"")</f>
        <v/>
      </c>
      <c r="E71" s="21" t="str">
        <f>IFERROR(IF(INDEX(Cards!$C$4:$C$25,MATCH($B71,Cards!$A$4:$A$25,0))="any",$C71,INDEX(Cards!$C$4:$C$25,MATCH($B71,Cards!$A$4:$A$25,0))),"")</f>
        <v/>
      </c>
      <c r="F71" s="29">
        <f>IFERROR(INDEX(Cards!$D$4:$D$25,MATCH($B71,Cards!$A$4:$A$25,0)),0)</f>
        <v>0</v>
      </c>
      <c r="G71" s="29">
        <f>IFERROR(INDEX(Cards!$E$4:$E$25,MATCH($B71,Cards!$A$4:$A$25,0)),0)</f>
        <v>0</v>
      </c>
      <c r="H71" s="29">
        <f>IFERROR(INDEX(Cards!$I$4:$I$25,MATCH($B71,Cards!$A$4:$A$25,0)),0)</f>
        <v>0</v>
      </c>
      <c r="I71" s="21" t="str">
        <f>IFERROR(IF(INDEX(Cards!$J$4:$J$25,MATCH($B71,Cards!$A$4:$A$25,0))=0,"",INDEX(Cards!$J$4:$J$25,MATCH($B71,Cards!$A$4:$A$25,0))),"")</f>
        <v/>
      </c>
      <c r="J71" s="31">
        <f>IFERROR(INDEX(Cards!$H$4:$H$25,MATCH($B71,Cards!$A$4:$A$25,0)),0)</f>
        <v>0</v>
      </c>
      <c r="K71" s="31">
        <f>IFERROR(INDEX(Cards!$L$4:$L$25,MATCH($B71,Cards!$A$4:$A$25,0)),0)</f>
        <v>0</v>
      </c>
      <c r="L71" s="30">
        <f>IFERROR(INDEX(Cards!$G$4:$G$25,MATCH($B71,Cards!$A$4:$A$25,0)),0)</f>
        <v>0</v>
      </c>
      <c r="M71" s="33">
        <f>$L71*$B$4*Assumptions!$B$15</f>
        <v>0</v>
      </c>
      <c r="N71" s="31">
        <f t="shared" si="24"/>
        <v>0</v>
      </c>
      <c r="O71" s="42">
        <f t="shared" si="25"/>
        <v>1</v>
      </c>
      <c r="P71" s="52" t="str">
        <f t="shared" si="26"/>
        <v/>
      </c>
      <c r="Q71" s="44">
        <f t="shared" si="27"/>
        <v>0</v>
      </c>
    </row>
    <row r="72" spans="1:17" x14ac:dyDescent="0.4">
      <c r="A72" s="11"/>
      <c r="B72" s="40"/>
      <c r="C72" s="35"/>
      <c r="D72" s="16" t="str">
        <f>IFERROR(INDEX(Cards!$B$4:$B$25,MATCH($B72,Cards!$A$4:$A$25,0)),"")</f>
        <v/>
      </c>
      <c r="E72" s="18" t="str">
        <f>IFERROR(IF(INDEX(Cards!$C$4:$C$25,MATCH($B72,Cards!$A$4:$A$25,0))="any",$C72,INDEX(Cards!$C$4:$C$25,MATCH($B72,Cards!$A$4:$A$25,0))),"")</f>
        <v/>
      </c>
      <c r="F72" s="24">
        <f>IFERROR(INDEX(Cards!$D$4:$D$25,MATCH($B72,Cards!$A$4:$A$25,0)),0)</f>
        <v>0</v>
      </c>
      <c r="G72" s="24">
        <f>IFERROR(INDEX(Cards!$E$4:$E$25,MATCH($B72,Cards!$A$4:$A$25,0)),0)</f>
        <v>0</v>
      </c>
      <c r="H72" s="24">
        <f>IFERROR(INDEX(Cards!$I$4:$I$25,MATCH($B72,Cards!$A$4:$A$25,0)),0)</f>
        <v>0</v>
      </c>
      <c r="I72" s="18" t="str">
        <f>IFERROR(IF(INDEX(Cards!$J$4:$J$25,MATCH($B72,Cards!$A$4:$A$25,0))=0,"",INDEX(Cards!$J$4:$J$25,MATCH($B72,Cards!$A$4:$A$25,0))),"")</f>
        <v/>
      </c>
      <c r="J72" s="26">
        <f>IFERROR(INDEX(Cards!$H$4:$H$25,MATCH($B72,Cards!$A$4:$A$25,0)),0)</f>
        <v>0</v>
      </c>
      <c r="K72" s="26">
        <f>IFERROR(INDEX(Cards!$L$4:$L$25,MATCH($B72,Cards!$A$4:$A$25,0)),0)</f>
        <v>0</v>
      </c>
      <c r="L72" s="25">
        <f>IFERROR(INDEX(Cards!$G$4:$G$25,MATCH($B72,Cards!$A$4:$A$25,0)),0)</f>
        <v>0</v>
      </c>
      <c r="M72" s="28">
        <f>$L72*$B$4*Assumptions!$B$15</f>
        <v>0</v>
      </c>
      <c r="N72" s="26">
        <f t="shared" si="24"/>
        <v>0</v>
      </c>
      <c r="O72" s="48">
        <f t="shared" si="25"/>
        <v>1</v>
      </c>
      <c r="P72" s="53" t="str">
        <f t="shared" si="26"/>
        <v/>
      </c>
      <c r="Q72" s="50">
        <f t="shared" si="27"/>
        <v>0</v>
      </c>
    </row>
    <row r="73" spans="1:17" x14ac:dyDescent="0.4">
      <c r="A73" s="11"/>
      <c r="B73" s="40"/>
      <c r="C73" s="35"/>
      <c r="D73" s="20" t="str">
        <f>IFERROR(INDEX(Cards!$B$4:$B$25,MATCH($B73,Cards!$A$4:$A$25,0)),"")</f>
        <v/>
      </c>
      <c r="E73" s="21" t="str">
        <f>IFERROR(IF(INDEX(Cards!$C$4:$C$25,MATCH($B73,Cards!$A$4:$A$25,0))="any",$C73,INDEX(Cards!$C$4:$C$25,MATCH($B73,Cards!$A$4:$A$25,0))),"")</f>
        <v/>
      </c>
      <c r="F73" s="29">
        <f>IFERROR(INDEX(Cards!$D$4:$D$25,MATCH($B73,Cards!$A$4:$A$25,0)),0)</f>
        <v>0</v>
      </c>
      <c r="G73" s="29">
        <f>IFERROR(INDEX(Cards!$E$4:$E$25,MATCH($B73,Cards!$A$4:$A$25,0)),0)</f>
        <v>0</v>
      </c>
      <c r="H73" s="29">
        <f>IFERROR(INDEX(Cards!$I$4:$I$25,MATCH($B73,Cards!$A$4:$A$25,0)),0)</f>
        <v>0</v>
      </c>
      <c r="I73" s="21" t="str">
        <f>IFERROR(IF(INDEX(Cards!$J$4:$J$25,MATCH($B73,Cards!$A$4:$A$25,0))=0,"",INDEX(Cards!$J$4:$J$25,MATCH($B73,Cards!$A$4:$A$25,0))),"")</f>
        <v/>
      </c>
      <c r="J73" s="31">
        <f>IFERROR(INDEX(Cards!$H$4:$H$25,MATCH($B73,Cards!$A$4:$A$25,0)),0)</f>
        <v>0</v>
      </c>
      <c r="K73" s="31">
        <f>IFERROR(INDEX(Cards!$L$4:$L$25,MATCH($B73,Cards!$A$4:$A$25,0)),0)</f>
        <v>0</v>
      </c>
      <c r="L73" s="30">
        <f>IFERROR(INDEX(Cards!$G$4:$G$25,MATCH($B73,Cards!$A$4:$A$25,0)),0)</f>
        <v>0</v>
      </c>
      <c r="M73" s="33">
        <f>$L73*$B$4*Assumptions!$B$15</f>
        <v>0</v>
      </c>
      <c r="N73" s="31">
        <f t="shared" si="24"/>
        <v>0</v>
      </c>
      <c r="O73" s="42">
        <f t="shared" si="25"/>
        <v>1</v>
      </c>
      <c r="P73" s="52" t="str">
        <f t="shared" si="26"/>
        <v/>
      </c>
      <c r="Q73" s="44">
        <f t="shared" si="27"/>
        <v>0</v>
      </c>
    </row>
    <row r="74" spans="1:17" x14ac:dyDescent="0.4">
      <c r="A74" s="11"/>
      <c r="B74" s="40"/>
      <c r="C74" s="35"/>
      <c r="D74" s="16" t="str">
        <f>IFERROR(INDEX(Cards!$B$4:$B$25,MATCH($B74,Cards!$A$4:$A$25,0)),"")</f>
        <v/>
      </c>
      <c r="E74" s="18" t="str">
        <f>IFERROR(IF(INDEX(Cards!$C$4:$C$25,MATCH($B74,Cards!$A$4:$A$25,0))="any",$C74,INDEX(Cards!$C$4:$C$25,MATCH($B74,Cards!$A$4:$A$25,0))),"")</f>
        <v/>
      </c>
      <c r="F74" s="24">
        <f>IFERROR(INDEX(Cards!$D$4:$D$25,MATCH($B74,Cards!$A$4:$A$25,0)),0)</f>
        <v>0</v>
      </c>
      <c r="G74" s="24">
        <f>IFERROR(INDEX(Cards!$E$4:$E$25,MATCH($B74,Cards!$A$4:$A$25,0)),0)</f>
        <v>0</v>
      </c>
      <c r="H74" s="24">
        <f>IFERROR(INDEX(Cards!$I$4:$I$25,MATCH($B74,Cards!$A$4:$A$25,0)),0)</f>
        <v>0</v>
      </c>
      <c r="I74" s="18" t="str">
        <f>IFERROR(IF(INDEX(Cards!$J$4:$J$25,MATCH($B74,Cards!$A$4:$A$25,0))=0,"",INDEX(Cards!$J$4:$J$25,MATCH($B74,Cards!$A$4:$A$25,0))),"")</f>
        <v/>
      </c>
      <c r="J74" s="26">
        <f>IFERROR(INDEX(Cards!$H$4:$H$25,MATCH($B74,Cards!$A$4:$A$25,0)),0)</f>
        <v>0</v>
      </c>
      <c r="K74" s="26">
        <f>IFERROR(INDEX(Cards!$L$4:$L$25,MATCH($B74,Cards!$A$4:$A$25,0)),0)</f>
        <v>0</v>
      </c>
      <c r="L74" s="25">
        <f>IFERROR(INDEX(Cards!$G$4:$G$25,MATCH($B74,Cards!$A$4:$A$25,0)),0)</f>
        <v>0</v>
      </c>
      <c r="M74" s="28">
        <f>$L74*$B$4*Assumptions!$B$15</f>
        <v>0</v>
      </c>
      <c r="N74" s="26">
        <f t="shared" si="24"/>
        <v>0</v>
      </c>
      <c r="O74" s="48">
        <f t="shared" si="25"/>
        <v>1</v>
      </c>
      <c r="P74" s="53" t="str">
        <f t="shared" si="26"/>
        <v/>
      </c>
      <c r="Q74" s="50">
        <f t="shared" si="27"/>
        <v>0</v>
      </c>
    </row>
    <row r="75" spans="1:17" x14ac:dyDescent="0.4">
      <c r="A75" s="11"/>
      <c r="B75" s="40"/>
      <c r="C75" s="35"/>
      <c r="D75" s="20" t="str">
        <f>IFERROR(INDEX(Cards!$B$4:$B$25,MATCH($B75,Cards!$A$4:$A$25,0)),"")</f>
        <v/>
      </c>
      <c r="E75" s="21" t="str">
        <f>IFERROR(IF(INDEX(Cards!$C$4:$C$25,MATCH($B75,Cards!$A$4:$A$25,0))="any",$C75,INDEX(Cards!$C$4:$C$25,MATCH($B75,Cards!$A$4:$A$25,0))),"")</f>
        <v/>
      </c>
      <c r="F75" s="29">
        <f>IFERROR(INDEX(Cards!$D$4:$D$25,MATCH($B75,Cards!$A$4:$A$25,0)),0)</f>
        <v>0</v>
      </c>
      <c r="G75" s="29">
        <f>IFERROR(INDEX(Cards!$E$4:$E$25,MATCH($B75,Cards!$A$4:$A$25,0)),0)</f>
        <v>0</v>
      </c>
      <c r="H75" s="29">
        <f>IFERROR(INDEX(Cards!$I$4:$I$25,MATCH($B75,Cards!$A$4:$A$25,0)),0)</f>
        <v>0</v>
      </c>
      <c r="I75" s="21" t="str">
        <f>IFERROR(IF(INDEX(Cards!$J$4:$J$25,MATCH($B75,Cards!$A$4:$A$25,0))=0,"",INDEX(Cards!$J$4:$J$25,MATCH($B75,Cards!$A$4:$A$25,0))),"")</f>
        <v/>
      </c>
      <c r="J75" s="31">
        <f>IFERROR(INDEX(Cards!$H$4:$H$25,MATCH($B75,Cards!$A$4:$A$25,0)),0)</f>
        <v>0</v>
      </c>
      <c r="K75" s="31">
        <f>IFERROR(INDEX(Cards!$L$4:$L$25,MATCH($B75,Cards!$A$4:$A$25,0)),0)</f>
        <v>0</v>
      </c>
      <c r="L75" s="30">
        <f>IFERROR(INDEX(Cards!$G$4:$G$25,MATCH($B75,Cards!$A$4:$A$25,0)),0)</f>
        <v>0</v>
      </c>
      <c r="M75" s="33">
        <f>$L75*$B$4*Assumptions!$B$15</f>
        <v>0</v>
      </c>
      <c r="N75" s="31">
        <f t="shared" si="24"/>
        <v>0</v>
      </c>
      <c r="O75" s="42">
        <f t="shared" si="25"/>
        <v>1</v>
      </c>
      <c r="P75" s="52" t="str">
        <f t="shared" si="26"/>
        <v/>
      </c>
      <c r="Q75" s="44">
        <f t="shared" si="27"/>
        <v>0</v>
      </c>
    </row>
    <row r="76" spans="1:17" x14ac:dyDescent="0.4">
      <c r="A76" s="11"/>
      <c r="B76" s="40"/>
      <c r="C76" s="35"/>
      <c r="D76" s="16" t="str">
        <f>IFERROR(INDEX(Cards!$B$4:$B$25,MATCH($B76,Cards!$A$4:$A$25,0)),"")</f>
        <v/>
      </c>
      <c r="E76" s="18" t="str">
        <f>IFERROR(IF(INDEX(Cards!$C$4:$C$25,MATCH($B76,Cards!$A$4:$A$25,0))="any",$C76,INDEX(Cards!$C$4:$C$25,MATCH($B76,Cards!$A$4:$A$25,0))),"")</f>
        <v/>
      </c>
      <c r="F76" s="24">
        <f>IFERROR(INDEX(Cards!$D$4:$D$25,MATCH($B76,Cards!$A$4:$A$25,0)),0)</f>
        <v>0</v>
      </c>
      <c r="G76" s="24">
        <f>IFERROR(INDEX(Cards!$E$4:$E$25,MATCH($B76,Cards!$A$4:$A$25,0)),0)</f>
        <v>0</v>
      </c>
      <c r="H76" s="24">
        <f>IFERROR(INDEX(Cards!$I$4:$I$25,MATCH($B76,Cards!$A$4:$A$25,0)),0)</f>
        <v>0</v>
      </c>
      <c r="I76" s="18" t="str">
        <f>IFERROR(IF(INDEX(Cards!$J$4:$J$25,MATCH($B76,Cards!$A$4:$A$25,0))=0,"",INDEX(Cards!$J$4:$J$25,MATCH($B76,Cards!$A$4:$A$25,0))),"")</f>
        <v/>
      </c>
      <c r="J76" s="26">
        <f>IFERROR(INDEX(Cards!$H$4:$H$25,MATCH($B76,Cards!$A$4:$A$25,0)),0)</f>
        <v>0</v>
      </c>
      <c r="K76" s="26">
        <f>IFERROR(INDEX(Cards!$L$4:$L$25,MATCH($B76,Cards!$A$4:$A$25,0)),0)</f>
        <v>0</v>
      </c>
      <c r="L76" s="25">
        <f>IFERROR(INDEX(Cards!$G$4:$G$25,MATCH($B76,Cards!$A$4:$A$25,0)),0)</f>
        <v>0</v>
      </c>
      <c r="M76" s="28">
        <f>$L76*$B$4*Assumptions!$B$15</f>
        <v>0</v>
      </c>
      <c r="N76" s="26">
        <f t="shared" si="24"/>
        <v>0</v>
      </c>
      <c r="O76" s="48">
        <f t="shared" si="25"/>
        <v>1</v>
      </c>
      <c r="P76" s="53" t="str">
        <f t="shared" si="26"/>
        <v/>
      </c>
      <c r="Q76" s="50">
        <f t="shared" si="27"/>
        <v>0</v>
      </c>
    </row>
    <row r="78" spans="1:17" x14ac:dyDescent="0.4">
      <c r="A78" s="8" t="s">
        <v>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"/>
  <sheetViews>
    <sheetView workbookViewId="0"/>
  </sheetViews>
  <sheetFormatPr defaultRowHeight="14.6" x14ac:dyDescent="0.4"/>
  <cols>
    <col min="1" max="1" width="18" customWidth="1"/>
    <col min="2" max="2" width="12" customWidth="1"/>
    <col min="3" max="3" width="10" customWidth="1"/>
    <col min="4" max="4" width="15" customWidth="1"/>
    <col min="5" max="5" width="17" customWidth="1"/>
    <col min="6" max="6" width="12" customWidth="1"/>
    <col min="7" max="8" width="15" customWidth="1"/>
    <col min="9" max="11" width="18" customWidth="1"/>
    <col min="12" max="12" width="13" customWidth="1"/>
    <col min="13" max="13" width="20" customWidth="1"/>
    <col min="14" max="14" width="26" customWidth="1"/>
  </cols>
  <sheetData>
    <row r="1" spans="1:14" ht="17.600000000000001" x14ac:dyDescent="0.4">
      <c r="A1" s="7" t="s">
        <v>296</v>
      </c>
    </row>
    <row r="2" spans="1:14" x14ac:dyDescent="0.4">
      <c r="A2" s="8" t="s">
        <v>297</v>
      </c>
    </row>
    <row r="4" spans="1:14" ht="24.9" x14ac:dyDescent="0.4">
      <c r="A4" s="9" t="s">
        <v>298</v>
      </c>
      <c r="B4" s="9" t="s">
        <v>215</v>
      </c>
      <c r="C4" s="9" t="s">
        <v>299</v>
      </c>
      <c r="D4" s="9" t="s">
        <v>300</v>
      </c>
      <c r="E4" s="9" t="s">
        <v>301</v>
      </c>
      <c r="F4" s="9" t="s">
        <v>302</v>
      </c>
      <c r="G4" s="9" t="s">
        <v>303</v>
      </c>
      <c r="H4" s="9" t="s">
        <v>304</v>
      </c>
      <c r="I4" s="9" t="s">
        <v>305</v>
      </c>
      <c r="J4" s="9" t="s">
        <v>306</v>
      </c>
      <c r="K4" s="9" t="s">
        <v>307</v>
      </c>
      <c r="L4" s="9" t="s">
        <v>308</v>
      </c>
      <c r="M4" s="9" t="s">
        <v>309</v>
      </c>
      <c r="N4" s="9" t="s">
        <v>310</v>
      </c>
    </row>
    <row r="5" spans="1:14" x14ac:dyDescent="0.4">
      <c r="A5" s="10" t="str">
        <f>Customers!$B$4</f>
        <v>Budget Buyer</v>
      </c>
      <c r="B5" s="33">
        <f>Customers!$C$4</f>
        <v>18000</v>
      </c>
      <c r="C5" s="29">
        <f>Customers!$D$4</f>
        <v>48</v>
      </c>
      <c r="D5" s="41">
        <f>(IFERROR(INDEX(Objections!$C$4:$C$8,MATCH(Customers!$K$4,Objections!$A$4:$A$8,0)),0)+IFERROR(INDEX(Objections!$C$4:$C$8,MATCH(Customers!$L$4,Objections!$A$4:$A$8,0)),0)+IFERROR(INDEX(Objections!$C$4:$C$8,MATCH(Customers!$M$4,Objections!$A$4:$A$8,0)),0))/3</f>
        <v>6.666666666666667</v>
      </c>
      <c r="E5" s="42">
        <f>IFERROR($C5/($D5+Assumptions!$B$7),0)</f>
        <v>5.5384615384615374</v>
      </c>
      <c r="F5" s="42">
        <f>$E5*Assumptions!$B$4</f>
        <v>16.615384615384613</v>
      </c>
      <c r="G5" s="42">
        <f>IFERROR($E5*($D5/AVERAGEIFS(Cards!$I$4:$I$25,Cards!$I$4:$I$25,"&gt;0")),0)</f>
        <v>7.3846153846153841</v>
      </c>
      <c r="H5" s="42">
        <f>MAX(0,$F5-$G5)</f>
        <v>9.2307692307692299</v>
      </c>
      <c r="I5" s="33">
        <f>IFERROR(Customers!$H$4/$H5,0)</f>
        <v>1170</v>
      </c>
      <c r="J5" s="33">
        <f>IFERROR(Customers!$J$4/$H5,0)</f>
        <v>1950.0000000000002</v>
      </c>
      <c r="K5" s="33">
        <f>IFERROR(AVERAGEIFS(Cards!$P$4:$P$25,Cards!$G$4:$G$25,"&gt;0")/AVERAGEIFS(Cards!$D$4:$D$25,Cards!$G$4:$G$25,"&gt;0")*($B5/30000),0)</f>
        <v>2326.5</v>
      </c>
      <c r="L5" s="31">
        <f>AVERAGE(Customers!$E$4:$G$4)</f>
        <v>0.3833333333333333</v>
      </c>
      <c r="M5" s="33">
        <f>$K5*(1-$L5)</f>
        <v>1434.6750000000002</v>
      </c>
      <c r="N5" s="32" t="str">
        <f>IF($M5&gt;=$J5,"MAX CLOSE FEASIBLE",IF($M5&gt;=$I5,"SALE ONLY","TOO HARD"))</f>
        <v>SALE ONLY</v>
      </c>
    </row>
    <row r="6" spans="1:14" x14ac:dyDescent="0.4">
      <c r="A6" s="17" t="str">
        <f>Customers!$B$5</f>
        <v>Family First</v>
      </c>
      <c r="B6" s="28">
        <f>Customers!$C$5</f>
        <v>30000</v>
      </c>
      <c r="C6" s="24">
        <f>Customers!$D$5</f>
        <v>50</v>
      </c>
      <c r="D6" s="47">
        <f>(IFERROR(INDEX(Objections!$C$4:$C$8,MATCH(Customers!$K$5,Objections!$A$4:$A$8,0)),0)+IFERROR(INDEX(Objections!$C$4:$C$8,MATCH(Customers!$L$5,Objections!$A$4:$A$8,0)),0)+IFERROR(INDEX(Objections!$C$4:$C$8,MATCH(Customers!$M$5,Objections!$A$4:$A$8,0)),0))/3</f>
        <v>6.666666666666667</v>
      </c>
      <c r="E6" s="48">
        <f>IFERROR($C6/($D6+Assumptions!$B$7),0)</f>
        <v>5.7692307692307683</v>
      </c>
      <c r="F6" s="48">
        <f>$E6*Assumptions!$B$4</f>
        <v>17.307692307692307</v>
      </c>
      <c r="G6" s="48">
        <f>IFERROR($E6*($D6/AVERAGEIFS(Cards!$I$4:$I$25,Cards!$I$4:$I$25,"&gt;0")),0)</f>
        <v>7.6923076923076916</v>
      </c>
      <c r="H6" s="48">
        <f>MAX(0,$F6-$G6)</f>
        <v>9.615384615384615</v>
      </c>
      <c r="I6" s="28">
        <f>IFERROR(Customers!$H$5/$H6,0)</f>
        <v>1872</v>
      </c>
      <c r="J6" s="28">
        <f>IFERROR(Customers!$J$5/$H6,0)</f>
        <v>3120</v>
      </c>
      <c r="K6" s="28">
        <f>IFERROR(AVERAGEIFS(Cards!$P$4:$P$25,Cards!$G$4:$G$25,"&gt;0")/AVERAGEIFS(Cards!$D$4:$D$25,Cards!$G$4:$G$25,"&gt;0")*($B6/30000),0)</f>
        <v>3877.5</v>
      </c>
      <c r="L6" s="26">
        <f>AVERAGE(Customers!$E$5:$G$5)</f>
        <v>0.28333333333333333</v>
      </c>
      <c r="M6" s="28">
        <f>$K6*(1-$L6)</f>
        <v>2778.875</v>
      </c>
      <c r="N6" s="27" t="str">
        <f>IF($M6&gt;=$J6,"MAX CLOSE FEASIBLE",IF($M6&gt;=$I6,"SALE ONLY","TOO HARD"))</f>
        <v>SALE ONLY</v>
      </c>
    </row>
    <row r="7" spans="1:14" x14ac:dyDescent="0.4">
      <c r="A7" s="10" t="str">
        <f>Customers!$B$6</f>
        <v>Tech Enthusiast</v>
      </c>
      <c r="B7" s="33">
        <f>Customers!$C$6</f>
        <v>40000</v>
      </c>
      <c r="C7" s="29">
        <f>Customers!$D$6</f>
        <v>44</v>
      </c>
      <c r="D7" s="41">
        <f>(IFERROR(INDEX(Objections!$C$4:$C$8,MATCH(Customers!$K$6,Objections!$A$4:$A$8,0)),0)+IFERROR(INDEX(Objections!$C$4:$C$8,MATCH(Customers!$L$6,Objections!$A$4:$A$8,0)),0)+IFERROR(INDEX(Objections!$C$4:$C$8,MATCH(Customers!$M$6,Objections!$A$4:$A$8,0)),0))/3</f>
        <v>6</v>
      </c>
      <c r="E7" s="42">
        <f>IFERROR($C7/($D7+Assumptions!$B$7),0)</f>
        <v>5.5</v>
      </c>
      <c r="F7" s="42">
        <f>$E7*Assumptions!$B$4</f>
        <v>16.5</v>
      </c>
      <c r="G7" s="42">
        <f>IFERROR($E7*($D7/AVERAGEIFS(Cards!$I$4:$I$25,Cards!$I$4:$I$25,"&gt;0")),0)</f>
        <v>6.6</v>
      </c>
      <c r="H7" s="42">
        <f>MAX(0,$F7-$G7)</f>
        <v>9.9</v>
      </c>
      <c r="I7" s="33">
        <f>IFERROR(Customers!$H$6/$H7,0)</f>
        <v>2424.242424242424</v>
      </c>
      <c r="J7" s="33">
        <f>IFERROR(Customers!$J$6/$H7,0)</f>
        <v>4040.4040404040402</v>
      </c>
      <c r="K7" s="33">
        <f>IFERROR(AVERAGEIFS(Cards!$P$4:$P$25,Cards!$G$4:$G$25,"&gt;0")/AVERAGEIFS(Cards!$D$4:$D$25,Cards!$G$4:$G$25,"&gt;0")*($B7/30000),0)</f>
        <v>5170</v>
      </c>
      <c r="L7" s="31">
        <f>AVERAGE(Customers!$E$6:$G$6)</f>
        <v>0.26666666666666666</v>
      </c>
      <c r="M7" s="33">
        <f>$K7*(1-$L7)</f>
        <v>3791.3333333333335</v>
      </c>
      <c r="N7" s="32" t="str">
        <f>IF($M7&gt;=$J7,"MAX CLOSE FEASIBLE",IF($M7&gt;=$I7,"SALE ONLY","TOO HARD"))</f>
        <v>SALE ONLY</v>
      </c>
    </row>
    <row r="10" spans="1:14" x14ac:dyDescent="0.4">
      <c r="A10" s="2" t="s">
        <v>311</v>
      </c>
    </row>
    <row r="11" spans="1:14" ht="99.45" x14ac:dyDescent="0.4">
      <c r="A11" s="54" t="s">
        <v>312</v>
      </c>
    </row>
    <row r="12" spans="1:14" ht="62.15" x14ac:dyDescent="0.4">
      <c r="A12" s="54" t="s">
        <v>313</v>
      </c>
    </row>
    <row r="13" spans="1:14" ht="74.599999999999994" x14ac:dyDescent="0.4">
      <c r="A13" s="54" t="s">
        <v>314</v>
      </c>
    </row>
    <row r="14" spans="1:14" ht="111.9" x14ac:dyDescent="0.4">
      <c r="A14" s="54" t="s">
        <v>315</v>
      </c>
    </row>
    <row r="16" spans="1:14" x14ac:dyDescent="0.4">
      <c r="A16" s="2" t="s">
        <v>316</v>
      </c>
    </row>
    <row r="17" spans="1:2" x14ac:dyDescent="0.4">
      <c r="A17" s="10" t="s">
        <v>317</v>
      </c>
      <c r="B17" s="29">
        <f>COUNTA(Cards!$A$4:$A$25)</f>
        <v>22</v>
      </c>
    </row>
    <row r="18" spans="1:2" x14ac:dyDescent="0.4">
      <c r="A18" s="10" t="s">
        <v>318</v>
      </c>
      <c r="B18" s="29">
        <f>COUNTIF(Cards!$O$4:$O$25,"YES")</f>
        <v>10</v>
      </c>
    </row>
    <row r="19" spans="1:2" x14ac:dyDescent="0.4">
      <c r="A19" s="10" t="s">
        <v>319</v>
      </c>
      <c r="B19" s="29">
        <f>COUNTIF(Cards!$G$4:$G$25,"&gt;0")</f>
        <v>9</v>
      </c>
    </row>
    <row r="20" spans="1:2" x14ac:dyDescent="0.4">
      <c r="A20" s="10" t="s">
        <v>320</v>
      </c>
      <c r="B20" s="29">
        <f>COUNTIF(Cards!$I$4:$I$25,"&gt;0")</f>
        <v>8</v>
      </c>
    </row>
    <row r="21" spans="1:2" x14ac:dyDescent="0.4">
      <c r="A21" s="10" t="s">
        <v>321</v>
      </c>
      <c r="B21" s="29">
        <f>COUNTIF(Cards!$J$4:$J$25,"&lt;&gt;")</f>
        <v>4</v>
      </c>
    </row>
    <row r="22" spans="1:2" x14ac:dyDescent="0.4">
      <c r="A22" s="10" t="s">
        <v>322</v>
      </c>
      <c r="B22" s="29">
        <f>SUM(Cards!$I$4:$I$25)</f>
        <v>40</v>
      </c>
    </row>
    <row r="23" spans="1:2" x14ac:dyDescent="0.4">
      <c r="A23" s="10" t="s">
        <v>323</v>
      </c>
      <c r="B23" s="29">
        <f>COUNTA(Objections!$A$4:$A$8)</f>
        <v>5</v>
      </c>
    </row>
    <row r="24" spans="1:2" x14ac:dyDescent="0.4">
      <c r="A24" s="10" t="s">
        <v>324</v>
      </c>
      <c r="B24" s="29">
        <f>COUNTIF(Objections!$D$4:$D$8,"&lt;&gt;-")</f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4"/>
  <sheetViews>
    <sheetView workbookViewId="0"/>
  </sheetViews>
  <sheetFormatPr defaultRowHeight="14.6" x14ac:dyDescent="0.4"/>
  <cols>
    <col min="1" max="1" width="24" customWidth="1"/>
    <col min="2" max="2" width="10" customWidth="1"/>
    <col min="3" max="3" width="52" customWidth="1"/>
    <col min="4" max="4" width="58" customWidth="1"/>
  </cols>
  <sheetData>
    <row r="1" spans="1:4" ht="17.600000000000001" x14ac:dyDescent="0.4">
      <c r="A1" s="7" t="s">
        <v>325</v>
      </c>
    </row>
    <row r="2" spans="1:4" x14ac:dyDescent="0.4">
      <c r="A2" s="8" t="s">
        <v>326</v>
      </c>
    </row>
    <row r="4" spans="1:4" x14ac:dyDescent="0.4">
      <c r="A4" s="9" t="s">
        <v>327</v>
      </c>
      <c r="B4" s="9" t="s">
        <v>328</v>
      </c>
      <c r="C4" s="9" t="s">
        <v>329</v>
      </c>
      <c r="D4" s="9" t="s">
        <v>87</v>
      </c>
    </row>
    <row r="5" spans="1:4" ht="30" customHeight="1" x14ac:dyDescent="0.4">
      <c r="A5" s="55" t="str">
        <f>Cards!$B$4</f>
        <v>Base Trim Pitch</v>
      </c>
      <c r="B5" s="21" t="str">
        <f>Cards!$D$4&amp;" energy"</f>
        <v>1 energy</v>
      </c>
      <c r="C5" s="56" t="str">
        <f>IF(Cards!$G$4&gt;0,"+"&amp;TEXT(Cards!$G$4,"0.0%")&amp;" of budget in "&amp;Cards!$C$4&amp;". ","")&amp;IF(Cards!$I$4&gt;0,"Shield "&amp;Cards!$I$4&amp;". ","")&amp;IF(Cards!$J$4&lt;&gt;"","Counters: "&amp;Cards!$J$4&amp;". ","")&amp;IF(Cards!$H$4&gt;0,"-"&amp;TEXT(Cards!$H$4,"0%")&amp;" resistance. ","")&amp;IF(Cards!$K$4&gt;0,"Draw "&amp;Cards!$K$4&amp;". ","")&amp;IF(Cards!$L$4&gt;0,"Next turn +"&amp;TEXT(Cards!$L$4,"0%")&amp;" value. ","")&amp;IF(Cards!$E$4&gt;0,"Costs "&amp;Cards!$E$4&amp;" patience.","")</f>
        <v xml:space="preserve">+8.3% of budget in vehicle. </v>
      </c>
      <c r="D5" s="22" t="str">
        <f>Cards!$Q$4</f>
        <v>It's the same car, just with fewer things that work.</v>
      </c>
    </row>
    <row r="6" spans="1:4" ht="30" customHeight="1" x14ac:dyDescent="0.4">
      <c r="A6" s="57" t="str">
        <f>Cards!$B$5</f>
        <v>Upsell Package</v>
      </c>
      <c r="B6" s="18" t="str">
        <f>Cards!$D$5&amp;" energy"</f>
        <v>2 energy</v>
      </c>
      <c r="C6" s="58" t="str">
        <f>IF(Cards!$G$5&gt;0,"+"&amp;TEXT(Cards!$G$5,"0.0%")&amp;" of budget in "&amp;Cards!$C$5&amp;". ","")&amp;IF(Cards!$I$5&gt;0,"Shield "&amp;Cards!$I$5&amp;". ","")&amp;IF(Cards!$J$5&lt;&gt;"","Counters: "&amp;Cards!$J$5&amp;". ","")&amp;IF(Cards!$H$5&gt;0,"-"&amp;TEXT(Cards!$H$5,"0%")&amp;" resistance. ","")&amp;IF(Cards!$K$5&gt;0,"Draw "&amp;Cards!$K$5&amp;". ","")&amp;IF(Cards!$L$5&gt;0,"Next turn +"&amp;TEXT(Cards!$L$5,"0%")&amp;" value. ","")&amp;IF(Cards!$E$5&gt;0,"Costs "&amp;Cards!$E$5&amp;" patience.","")</f>
        <v>+16.7% of budget in vehicle. Costs 3 patience.</v>
      </c>
      <c r="D6" s="19" t="str">
        <f>Cards!$Q$5</f>
        <v>The Platinum Ultra trim adds heated cupholders and five grand.</v>
      </c>
    </row>
    <row r="7" spans="1:4" ht="30" customHeight="1" x14ac:dyDescent="0.4">
      <c r="A7" s="55" t="str">
        <f>Cards!$B$6</f>
        <v>Highlight Features</v>
      </c>
      <c r="B7" s="21" t="str">
        <f>Cards!$D$6&amp;" energy"</f>
        <v>1 energy</v>
      </c>
      <c r="C7" s="56" t="str">
        <f>IF(Cards!$G$6&gt;0,"+"&amp;TEXT(Cards!$G$6,"0.0%")&amp;" of budget in "&amp;Cards!$C$6&amp;". ","")&amp;IF(Cards!$I$6&gt;0,"Shield "&amp;Cards!$I$6&amp;". ","")&amp;IF(Cards!$J$6&lt;&gt;"","Counters: "&amp;Cards!$J$6&amp;". ","")&amp;IF(Cards!$H$6&gt;0,"-"&amp;TEXT(Cards!$H$6,"0%")&amp;" resistance. ","")&amp;IF(Cards!$K$6&gt;0,"Draw "&amp;Cards!$K$6&amp;". ","")&amp;IF(Cards!$L$6&gt;0,"Next turn +"&amp;TEXT(Cards!$L$6,"0%")&amp;" value. ","")&amp;IF(Cards!$E$6&gt;0,"Costs "&amp;Cards!$E$6&amp;" patience.","")</f>
        <v xml:space="preserve">-15% resistance. </v>
      </c>
      <c r="D7" s="22" t="str">
        <f>Cards!$Q$6</f>
        <v>Watch me open the trunk with my foot. Now you need it.</v>
      </c>
    </row>
    <row r="8" spans="1:4" ht="30" customHeight="1" x14ac:dyDescent="0.4">
      <c r="A8" s="57" t="str">
        <f>Cards!$B$7</f>
        <v>Extended Warranty</v>
      </c>
      <c r="B8" s="18" t="str">
        <f>Cards!$D$7&amp;" energy"</f>
        <v>2 energy</v>
      </c>
      <c r="C8" s="58" t="str">
        <f>IF(Cards!$G$7&gt;0,"+"&amp;TEXT(Cards!$G$7,"0.0%")&amp;" of budget in "&amp;Cards!$C$7&amp;". ","")&amp;IF(Cards!$I$7&gt;0,"Shield "&amp;Cards!$I$7&amp;". ","")&amp;IF(Cards!$J$7&lt;&gt;"","Counters: "&amp;Cards!$J$7&amp;". ","")&amp;IF(Cards!$H$7&gt;0,"-"&amp;TEXT(Cards!$H$7,"0%")&amp;" resistance. ","")&amp;IF(Cards!$K$7&gt;0,"Draw "&amp;Cards!$K$7&amp;". ","")&amp;IF(Cards!$L$7&gt;0,"Next turn +"&amp;TEXT(Cards!$L$7,"0%")&amp;" value. ","")&amp;IF(Cards!$E$7&gt;0,"Costs "&amp;Cards!$E$7&amp;" patience.","")</f>
        <v>+13.3% of budget in protection. Costs 4 patience.</v>
      </c>
      <c r="D8" s="19" t="str">
        <f>Cards!$Q$7</f>
        <v>Statistically you will never use this. Emotionally, you need it.</v>
      </c>
    </row>
    <row r="9" spans="1:4" ht="30" customHeight="1" x14ac:dyDescent="0.4">
      <c r="A9" s="55" t="str">
        <f>Cards!$B$8</f>
        <v>Gap Insurance</v>
      </c>
      <c r="B9" s="21" t="str">
        <f>Cards!$D$8&amp;" energy"</f>
        <v>1 energy</v>
      </c>
      <c r="C9" s="56" t="str">
        <f>IF(Cards!$G$8&gt;0,"+"&amp;TEXT(Cards!$G$8,"0.0%")&amp;" of budget in "&amp;Cards!$C$8&amp;". ","")&amp;IF(Cards!$I$8&gt;0,"Shield "&amp;Cards!$I$8&amp;". ","")&amp;IF(Cards!$J$8&lt;&gt;"","Counters: "&amp;Cards!$J$8&amp;". ","")&amp;IF(Cards!$H$8&gt;0,"-"&amp;TEXT(Cards!$H$8,"0%")&amp;" resistance. ","")&amp;IF(Cards!$K$8&gt;0,"Draw "&amp;Cards!$K$8&amp;". ","")&amp;IF(Cards!$L$8&gt;0,"Next turn +"&amp;TEXT(Cards!$L$8,"0%")&amp;" value. ","")&amp;IF(Cards!$E$8&gt;0,"Costs "&amp;Cards!$E$8&amp;" patience.","")</f>
        <v>+7.3% of budget in protection. Costs 2 patience.</v>
      </c>
      <c r="D9" s="22" t="str">
        <f>Cards!$Q$8</f>
        <v>In case the car dies before the loan does.</v>
      </c>
    </row>
    <row r="10" spans="1:4" ht="30" customHeight="1" x14ac:dyDescent="0.4">
      <c r="A10" s="57" t="str">
        <f>Cards!$B$9</f>
        <v>Paint Protection</v>
      </c>
      <c r="B10" s="18" t="str">
        <f>Cards!$D$9&amp;" energy"</f>
        <v>1 energy</v>
      </c>
      <c r="C10" s="58" t="str">
        <f>IF(Cards!$G$9&gt;0,"+"&amp;TEXT(Cards!$G$9,"0.0%")&amp;" of budget in "&amp;Cards!$C$9&amp;". ","")&amp;IF(Cards!$I$9&gt;0,"Shield "&amp;Cards!$I$9&amp;". ","")&amp;IF(Cards!$J$9&lt;&gt;"","Counters: "&amp;Cards!$J$9&amp;". ","")&amp;IF(Cards!$H$9&gt;0,"-"&amp;TEXT(Cards!$H$9,"0%")&amp;" resistance. ","")&amp;IF(Cards!$K$9&gt;0,"Draw "&amp;Cards!$K$9&amp;". ","")&amp;IF(Cards!$L$9&gt;0,"Next turn +"&amp;TEXT(Cards!$L$9,"0%")&amp;" value. ","")&amp;IF(Cards!$E$9&gt;0,"Costs "&amp;Cards!$E$9&amp;" patience.","")</f>
        <v>+6.0% of budget in protection. Costs 3 patience.</v>
      </c>
      <c r="D10" s="19" t="str">
        <f>Cards!$Q$9</f>
        <v>It's wax. It is forty dollars of wax.</v>
      </c>
    </row>
    <row r="11" spans="1:4" ht="30" customHeight="1" x14ac:dyDescent="0.4">
      <c r="A11" s="55" t="str">
        <f>Cards!$B$10</f>
        <v>Rate Markup</v>
      </c>
      <c r="B11" s="21" t="str">
        <f>Cards!$D$10&amp;" energy"</f>
        <v>1 energy</v>
      </c>
      <c r="C11" s="56" t="str">
        <f>IF(Cards!$G$10&gt;0,"+"&amp;TEXT(Cards!$G$10,"0.0%")&amp;" of budget in "&amp;Cards!$C$10&amp;". ","")&amp;IF(Cards!$I$10&gt;0,"Shield "&amp;Cards!$I$10&amp;". ","")&amp;IF(Cards!$J$10&lt;&gt;"","Counters: "&amp;Cards!$J$10&amp;". ","")&amp;IF(Cards!$H$10&gt;0,"-"&amp;TEXT(Cards!$H$10,"0%")&amp;" resistance. ","")&amp;IF(Cards!$K$10&gt;0,"Draw "&amp;Cards!$K$10&amp;". ","")&amp;IF(Cards!$L$10&gt;0,"Next turn +"&amp;TEXT(Cards!$L$10,"0%")&amp;" value. ","")&amp;IF(Cards!$E$10&gt;0,"Costs "&amp;Cards!$E$10&amp;" patience.","")</f>
        <v>+6.7% of budget in financing. Costs 5 patience.</v>
      </c>
      <c r="D11" s="22" t="str">
        <f>Cards!$Q$10</f>
        <v>The bank said 4.9. I'm going to say 7.9 and see what happens.</v>
      </c>
    </row>
    <row r="12" spans="1:4" ht="30" customHeight="1" x14ac:dyDescent="0.4">
      <c r="A12" s="57" t="str">
        <f>Cards!$B$11</f>
        <v>Term Extension</v>
      </c>
      <c r="B12" s="18" t="str">
        <f>Cards!$D$11&amp;" energy"</f>
        <v>2 energy</v>
      </c>
      <c r="C12" s="58" t="str">
        <f>IF(Cards!$G$11&gt;0,"+"&amp;TEXT(Cards!$G$11,"0.0%")&amp;" of budget in "&amp;Cards!$C$11&amp;". ","")&amp;IF(Cards!$I$11&gt;0,"Shield "&amp;Cards!$I$11&amp;". ","")&amp;IF(Cards!$J$11&lt;&gt;"","Counters: "&amp;Cards!$J$11&amp;". ","")&amp;IF(Cards!$H$11&gt;0,"-"&amp;TEXT(Cards!$H$11,"0%")&amp;" resistance. ","")&amp;IF(Cards!$K$11&gt;0,"Draw "&amp;Cards!$K$11&amp;". ","")&amp;IF(Cards!$L$11&gt;0,"Next turn +"&amp;TEXT(Cards!$L$11,"0%")&amp;" value. ","")&amp;IF(Cards!$E$11&gt;0,"Costs "&amp;Cards!$E$11&amp;" patience.","")</f>
        <v>+12.7% of budget in financing. Costs 3 patience.</v>
      </c>
      <c r="D12" s="19" t="str">
        <f>Cards!$Q$11</f>
        <v>Ninety-six months is basically a mortgage with cupholders.</v>
      </c>
    </row>
    <row r="13" spans="1:4" ht="30" customHeight="1" x14ac:dyDescent="0.4">
      <c r="A13" s="55" t="str">
        <f>Cards!$B$12</f>
        <v>Doc Fee</v>
      </c>
      <c r="B13" s="21" t="str">
        <f>Cards!$D$12&amp;" energy"</f>
        <v>0 energy</v>
      </c>
      <c r="C13" s="56" t="str">
        <f>IF(Cards!$G$12&gt;0,"+"&amp;TEXT(Cards!$G$12,"0.0%")&amp;" of budget in "&amp;Cards!$C$12&amp;". ","")&amp;IF(Cards!$I$12&gt;0,"Shield "&amp;Cards!$I$12&amp;". ","")&amp;IF(Cards!$J$12&lt;&gt;"","Counters: "&amp;Cards!$J$12&amp;". ","")&amp;IF(Cards!$H$12&gt;0,"-"&amp;TEXT(Cards!$H$12,"0%")&amp;" resistance. ","")&amp;IF(Cards!$K$12&gt;0,"Draw "&amp;Cards!$K$12&amp;". ","")&amp;IF(Cards!$L$12&gt;0,"Next turn +"&amp;TEXT(Cards!$L$12,"0%")&amp;" value. ","")&amp;IF(Cards!$E$12&gt;0,"Costs "&amp;Cards!$E$12&amp;" patience.","")</f>
        <v>+3.0% of budget in financing. Costs 4 patience.</v>
      </c>
      <c r="D13" s="22" t="str">
        <f>Cards!$Q$12</f>
        <v>A fee for processing the paperwork that creates the fee.</v>
      </c>
    </row>
    <row r="14" spans="1:4" ht="30" customHeight="1" x14ac:dyDescent="0.4">
      <c r="A14" s="57" t="str">
        <f>Cards!$B$13</f>
        <v>Build Rapport</v>
      </c>
      <c r="B14" s="18" t="str">
        <f>Cards!$D$13&amp;" energy"</f>
        <v>1 energy</v>
      </c>
      <c r="C14" s="58" t="str">
        <f>IF(Cards!$G$13&gt;0,"+"&amp;TEXT(Cards!$G$13,"0.0%")&amp;" of budget in "&amp;Cards!$C$13&amp;". ","")&amp;IF(Cards!$I$13&gt;0,"Shield "&amp;Cards!$I$13&amp;". ","")&amp;IF(Cards!$J$13&lt;&gt;"","Counters: "&amp;Cards!$J$13&amp;". ","")&amp;IF(Cards!$H$13&gt;0,"-"&amp;TEXT(Cards!$H$13,"0%")&amp;" resistance. ","")&amp;IF(Cards!$K$13&gt;0,"Draw "&amp;Cards!$K$13&amp;". ","")&amp;IF(Cards!$L$13&gt;0,"Next turn +"&amp;TEXT(Cards!$L$13,"0%")&amp;" value. ","")&amp;IF(Cards!$E$13&gt;0,"Costs "&amp;Cards!$E$13&amp;" patience.","")</f>
        <v xml:space="preserve">Shield 10. </v>
      </c>
      <c r="D14" s="19" t="str">
        <f>Cards!$Q$13</f>
        <v>Your kid plays travel soccer? MY kid plays travel soccer.</v>
      </c>
    </row>
    <row r="15" spans="1:4" ht="30" customHeight="1" x14ac:dyDescent="0.4">
      <c r="A15" s="55" t="str">
        <f>Cards!$B$14</f>
        <v>Small Talk</v>
      </c>
      <c r="B15" s="21" t="str">
        <f>Cards!$D$14&amp;" energy"</f>
        <v>0 energy</v>
      </c>
      <c r="C15" s="56" t="str">
        <f>IF(Cards!$G$14&gt;0,"+"&amp;TEXT(Cards!$G$14,"0.0%")&amp;" of budget in "&amp;Cards!$C$14&amp;". ","")&amp;IF(Cards!$I$14&gt;0,"Shield "&amp;Cards!$I$14&amp;". ","")&amp;IF(Cards!$J$14&lt;&gt;"","Counters: "&amp;Cards!$J$14&amp;". ","")&amp;IF(Cards!$H$14&gt;0,"-"&amp;TEXT(Cards!$H$14,"0%")&amp;" resistance. ","")&amp;IF(Cards!$K$14&gt;0,"Draw "&amp;Cards!$K$14&amp;". ","")&amp;IF(Cards!$L$14&gt;0,"Next turn +"&amp;TEXT(Cards!$L$14,"0%")&amp;" value. ","")&amp;IF(Cards!$E$14&gt;0,"Costs "&amp;Cards!$E$14&amp;" patience.","")</f>
        <v xml:space="preserve">Shield 4. </v>
      </c>
      <c r="D15" s="22" t="str">
        <f>Cards!$Q$14</f>
        <v>This weather, right? Anyway. About the financing.</v>
      </c>
    </row>
    <row r="16" spans="1:4" ht="30" customHeight="1" x14ac:dyDescent="0.4">
      <c r="A16" s="57" t="str">
        <f>Cards!$B$15</f>
        <v>Empathize</v>
      </c>
      <c r="B16" s="18" t="str">
        <f>Cards!$D$15&amp;" energy"</f>
        <v>1 energy</v>
      </c>
      <c r="C16" s="58" t="str">
        <f>IF(Cards!$G$15&gt;0,"+"&amp;TEXT(Cards!$G$15,"0.0%")&amp;" of budget in "&amp;Cards!$C$15&amp;". ","")&amp;IF(Cards!$I$15&gt;0,"Shield "&amp;Cards!$I$15&amp;". ","")&amp;IF(Cards!$J$15&lt;&gt;"","Counters: "&amp;Cards!$J$15&amp;". ","")&amp;IF(Cards!$H$15&gt;0,"-"&amp;TEXT(Cards!$H$15,"0%")&amp;" resistance. ","")&amp;IF(Cards!$K$15&gt;0,"Draw "&amp;Cards!$K$15&amp;". ","")&amp;IF(Cards!$L$15&gt;0,"Next turn +"&amp;TEXT(Cards!$L$15,"0%")&amp;" value. ","")&amp;IF(Cards!$E$15&gt;0,"Costs "&amp;Cards!$E$15&amp;" patience.","")</f>
        <v xml:space="preserve">Shield 6. -10% resistance. </v>
      </c>
      <c r="D16" s="19" t="str">
        <f>Cards!$Q$15</f>
        <v>I hear you. I'm on your side. I am paid on commission.</v>
      </c>
    </row>
    <row r="17" spans="1:4" ht="30" customHeight="1" x14ac:dyDescent="0.4">
      <c r="A17" s="55" t="str">
        <f>Cards!$B$16</f>
        <v>Appraise</v>
      </c>
      <c r="B17" s="21" t="str">
        <f>Cards!$D$16&amp;" energy"</f>
        <v>0 energy</v>
      </c>
      <c r="C17" s="56" t="str">
        <f>IF(Cards!$G$16&gt;0,"+"&amp;TEXT(Cards!$G$16,"0.0%")&amp;" of budget in "&amp;Cards!$C$16&amp;". ","")&amp;IF(Cards!$I$16&gt;0,"Shield "&amp;Cards!$I$16&amp;". ","")&amp;IF(Cards!$J$16&lt;&gt;"","Counters: "&amp;Cards!$J$16&amp;". ","")&amp;IF(Cards!$H$16&gt;0,"-"&amp;TEXT(Cards!$H$16,"0%")&amp;" resistance. ","")&amp;IF(Cards!$K$16&gt;0,"Draw "&amp;Cards!$K$16&amp;". ","")&amp;IF(Cards!$L$16&gt;0,"Next turn +"&amp;TEXT(Cards!$L$16,"0%")&amp;" value. ","")&amp;IF(Cards!$E$16&gt;0,"Costs "&amp;Cards!$E$16&amp;" patience.","")</f>
        <v xml:space="preserve">Draw 1. </v>
      </c>
      <c r="D17" s="22" t="str">
        <f>Cards!$Q$16</f>
        <v>Let me check with my manager. (I am going to get a coffee.)</v>
      </c>
    </row>
    <row r="18" spans="1:4" ht="30" customHeight="1" x14ac:dyDescent="0.4">
      <c r="A18" s="57" t="str">
        <f>Cards!$B$17</f>
        <v>Probe Needs</v>
      </c>
      <c r="B18" s="18" t="str">
        <f>Cards!$D$17&amp;" energy"</f>
        <v>1 energy</v>
      </c>
      <c r="C18" s="58" t="str">
        <f>IF(Cards!$G$17&gt;0,"+"&amp;TEXT(Cards!$G$17,"0.0%")&amp;" of budget in "&amp;Cards!$C$17&amp;". ","")&amp;IF(Cards!$I$17&gt;0,"Shield "&amp;Cards!$I$17&amp;". ","")&amp;IF(Cards!$J$17&lt;&gt;"","Counters: "&amp;Cards!$J$17&amp;". ","")&amp;IF(Cards!$H$17&gt;0,"-"&amp;TEXT(Cards!$H$17,"0%")&amp;" resistance. ","")&amp;IF(Cards!$K$17&gt;0,"Draw "&amp;Cards!$K$17&amp;". ","")&amp;IF(Cards!$L$17&gt;0,"Next turn +"&amp;TEXT(Cards!$L$17,"0%")&amp;" value. ","")&amp;IF(Cards!$E$17&gt;0,"Costs "&amp;Cards!$E$17&amp;" patience.","")</f>
        <v xml:space="preserve">-20% resistance. </v>
      </c>
      <c r="D18" s="19" t="str">
        <f>Cards!$Q$17</f>
        <v>So what's your commute like? Asking for entirely selfless reasons.</v>
      </c>
    </row>
    <row r="19" spans="1:4" ht="30" customHeight="1" x14ac:dyDescent="0.4">
      <c r="A19" s="55" t="str">
        <f>Cards!$B$18</f>
        <v>Bide Your Time</v>
      </c>
      <c r="B19" s="21" t="str">
        <f>Cards!$D$18&amp;" energy"</f>
        <v>0 energy</v>
      </c>
      <c r="C19" s="56" t="str">
        <f>IF(Cards!$G$18&gt;0,"+"&amp;TEXT(Cards!$G$18,"0.0%")&amp;" of budget in "&amp;Cards!$C$18&amp;". ","")&amp;IF(Cards!$I$18&gt;0,"Shield "&amp;Cards!$I$18&amp;". ","")&amp;IF(Cards!$J$18&lt;&gt;"","Counters: "&amp;Cards!$J$18&amp;". ","")&amp;IF(Cards!$H$18&gt;0,"-"&amp;TEXT(Cards!$H$18,"0%")&amp;" resistance. ","")&amp;IF(Cards!$K$18&gt;0,"Draw "&amp;Cards!$K$18&amp;". ","")&amp;IF(Cards!$L$18&gt;0,"Next turn +"&amp;TEXT(Cards!$L$18,"0%")&amp;" value. ","")&amp;IF(Cards!$E$18&gt;0,"Costs "&amp;Cards!$E$18&amp;" patience.","")</f>
        <v/>
      </c>
      <c r="D19" s="22" t="str">
        <f>Cards!$Q$18</f>
        <v>Silence. Let them fill it. They always fill it.</v>
      </c>
    </row>
    <row r="20" spans="1:4" ht="30" customHeight="1" x14ac:dyDescent="0.4">
      <c r="A20" s="57" t="str">
        <f>Cards!$B$19</f>
        <v>Test Drive</v>
      </c>
      <c r="B20" s="18" t="str">
        <f>Cards!$D$19&amp;" energy"</f>
        <v>1 energy</v>
      </c>
      <c r="C20" s="58" t="str">
        <f>IF(Cards!$G$19&gt;0,"+"&amp;TEXT(Cards!$G$19,"0.0%")&amp;" of budget in "&amp;Cards!$C$19&amp;". ","")&amp;IF(Cards!$I$19&gt;0,"Shield "&amp;Cards!$I$19&amp;". ","")&amp;IF(Cards!$J$19&lt;&gt;"","Counters: "&amp;Cards!$J$19&amp;". ","")&amp;IF(Cards!$H$19&gt;0,"-"&amp;TEXT(Cards!$H$19,"0%")&amp;" resistance. ","")&amp;IF(Cards!$K$19&gt;0,"Draw "&amp;Cards!$K$19&amp;". ","")&amp;IF(Cards!$L$19&gt;0,"Next turn +"&amp;TEXT(Cards!$L$19,"0%")&amp;" value. ","")&amp;IF(Cards!$E$19&gt;0,"Costs "&amp;Cards!$E$19&amp;" patience.","")</f>
        <v xml:space="preserve">Shield 5. Draw 2. </v>
      </c>
      <c r="D20" s="19" t="str">
        <f>Cards!$Q$19</f>
        <v>Once they smell the interior, the deal is already closed.</v>
      </c>
    </row>
    <row r="21" spans="1:4" ht="30" customHeight="1" x14ac:dyDescent="0.4">
      <c r="A21" s="55" t="str">
        <f>Cards!$B$20</f>
        <v>Anchor High</v>
      </c>
      <c r="B21" s="21" t="str">
        <f>Cards!$D$20&amp;" energy"</f>
        <v>1 energy</v>
      </c>
      <c r="C21" s="56" t="str">
        <f>IF(Cards!$G$20&gt;0,"+"&amp;TEXT(Cards!$G$20,"0.0%")&amp;" of budget in "&amp;Cards!$C$20&amp;". ","")&amp;IF(Cards!$I$20&gt;0,"Shield "&amp;Cards!$I$20&amp;". ","")&amp;IF(Cards!$J$20&lt;&gt;"","Counters: "&amp;Cards!$J$20&amp;". ","")&amp;IF(Cards!$H$20&gt;0,"-"&amp;TEXT(Cards!$H$20,"0%")&amp;" resistance. ","")&amp;IF(Cards!$K$20&gt;0,"Draw "&amp;Cards!$K$20&amp;". ","")&amp;IF(Cards!$L$20&gt;0,"Next turn +"&amp;TEXT(Cards!$L$20,"0%")&amp;" value. ","")&amp;IF(Cards!$E$20&gt;0,"Costs "&amp;Cards!$E$20&amp;" patience.","")</f>
        <v>Next turn +50% value. Costs 2 patience.</v>
      </c>
      <c r="D21" s="22" t="str">
        <f>Cards!$Q$20</f>
        <v>Let's start with the fully loaded model. No reason. Just vibes.</v>
      </c>
    </row>
    <row r="22" spans="1:4" ht="30" customHeight="1" x14ac:dyDescent="0.4">
      <c r="A22" s="57" t="str">
        <f>Cards!$B$21</f>
        <v>Close Hard</v>
      </c>
      <c r="B22" s="18" t="str">
        <f>Cards!$D$21&amp;" energy"</f>
        <v>2 energy</v>
      </c>
      <c r="C22" s="58" t="str">
        <f>IF(Cards!$G$21&gt;0,"+"&amp;TEXT(Cards!$G$21,"0.0%")&amp;" of budget in "&amp;Cards!$C$21&amp;". ","")&amp;IF(Cards!$I$21&gt;0,"Shield "&amp;Cards!$I$21&amp;". ","")&amp;IF(Cards!$J$21&lt;&gt;"","Counters: "&amp;Cards!$J$21&amp;". ","")&amp;IF(Cards!$H$21&gt;0,"-"&amp;TEXT(Cards!$H$21,"0%")&amp;" resistance. ","")&amp;IF(Cards!$K$21&gt;0,"Draw "&amp;Cards!$K$21&amp;". ","")&amp;IF(Cards!$L$21&gt;0,"Next turn +"&amp;TEXT(Cards!$L$21,"0%")&amp;" value. ","")&amp;IF(Cards!$E$21&gt;0,"Costs "&amp;Cards!$E$21&amp;" patience.","")</f>
        <v>+20.0% of budget in any. Costs 8 patience.</v>
      </c>
      <c r="D22" s="19" t="str">
        <f>Cards!$Q$21</f>
        <v>I can only hold this price until you leave the building.</v>
      </c>
    </row>
    <row r="23" spans="1:4" ht="30" customHeight="1" x14ac:dyDescent="0.4">
      <c r="A23" s="55" t="str">
        <f>Cards!$B$22</f>
        <v>Beat The Quote</v>
      </c>
      <c r="B23" s="21" t="str">
        <f>Cards!$D$22&amp;" energy"</f>
        <v>1 energy</v>
      </c>
      <c r="C23" s="56" t="str">
        <f>IF(Cards!$G$22&gt;0,"+"&amp;TEXT(Cards!$G$22,"0.0%")&amp;" of budget in "&amp;Cards!$C$22&amp;". ","")&amp;IF(Cards!$I$22&gt;0,"Shield "&amp;Cards!$I$22&amp;". ","")&amp;IF(Cards!$J$22&lt;&gt;"","Counters: "&amp;Cards!$J$22&amp;". ","")&amp;IF(Cards!$H$22&gt;0,"-"&amp;TEXT(Cards!$H$22,"0%")&amp;" resistance. ","")&amp;IF(Cards!$K$22&gt;0,"Draw "&amp;Cards!$K$22&amp;". ","")&amp;IF(Cards!$L$22&gt;0,"Next turn +"&amp;TEXT(Cards!$L$22,"0%")&amp;" value. ","")&amp;IF(Cards!$E$22&gt;0,"Costs "&amp;Cards!$E$22&amp;" patience.","")</f>
        <v xml:space="preserve">Shield 4. Counters: competitor_quote. </v>
      </c>
      <c r="D23" s="22" t="str">
        <f>Cards!$Q$22</f>
        <v>Bring me the written offer. They will never bring the written offer.</v>
      </c>
    </row>
    <row r="24" spans="1:4" ht="30" customHeight="1" x14ac:dyDescent="0.4">
      <c r="A24" s="57" t="str">
        <f>Cards!$B$23</f>
        <v>Justify The Value</v>
      </c>
      <c r="B24" s="18" t="str">
        <f>Cards!$D$23&amp;" energy"</f>
        <v>1 energy</v>
      </c>
      <c r="C24" s="58" t="str">
        <f>IF(Cards!$G$23&gt;0,"+"&amp;TEXT(Cards!$G$23,"0.0%")&amp;" of budget in "&amp;Cards!$C$23&amp;". ","")&amp;IF(Cards!$I$23&gt;0,"Shield "&amp;Cards!$I$23&amp;". ","")&amp;IF(Cards!$J$23&lt;&gt;"","Counters: "&amp;Cards!$J$23&amp;". ","")&amp;IF(Cards!$H$23&gt;0,"-"&amp;TEXT(Cards!$H$23,"0%")&amp;" resistance. ","")&amp;IF(Cards!$K$23&gt;0,"Draw "&amp;Cards!$K$23&amp;". ","")&amp;IF(Cards!$L$23&gt;0,"Next turn +"&amp;TEXT(Cards!$L$23,"0%")&amp;" value. ","")&amp;IF(Cards!$E$23&gt;0,"Costs "&amp;Cards!$E$23&amp;" patience.","")</f>
        <v xml:space="preserve">Shield 4. Counters: dont_need_extras. </v>
      </c>
      <c r="D24" s="19" t="str">
        <f>Cards!$Q$23</f>
        <v>You don't need it. You deserve it. Different word, same invoice.</v>
      </c>
    </row>
    <row r="25" spans="1:4" ht="30" customHeight="1" x14ac:dyDescent="0.4">
      <c r="A25" s="55" t="str">
        <f>Cards!$B$24</f>
        <v>Create Urgency</v>
      </c>
      <c r="B25" s="21" t="str">
        <f>Cards!$D$24&amp;" energy"</f>
        <v>1 energy</v>
      </c>
      <c r="C25" s="56" t="str">
        <f>IF(Cards!$G$24&gt;0,"+"&amp;TEXT(Cards!$G$24,"0.0%")&amp;" of budget in "&amp;Cards!$C$24&amp;". ","")&amp;IF(Cards!$I$24&gt;0,"Shield "&amp;Cards!$I$24&amp;". ","")&amp;IF(Cards!$J$24&lt;&gt;"","Counters: "&amp;Cards!$J$24&amp;". ","")&amp;IF(Cards!$H$24&gt;0,"-"&amp;TEXT(Cards!$H$24,"0%")&amp;" resistance. ","")&amp;IF(Cards!$K$24&gt;0,"Draw "&amp;Cards!$K$24&amp;". ","")&amp;IF(Cards!$L$24&gt;0,"Next turn +"&amp;TEXT(Cards!$L$24,"0%")&amp;" value. ","")&amp;IF(Cards!$E$24&gt;0,"Costs "&amp;Cards!$E$24&amp;" patience.","")</f>
        <v xml:space="preserve">Shield 3. Counters: talk_to_spouse. </v>
      </c>
      <c r="D25" s="22" t="str">
        <f>Cards!$Q$24</f>
        <v>Another couple looked at this exact one this morning. Allegedly.</v>
      </c>
    </row>
    <row r="26" spans="1:4" ht="30" customHeight="1" x14ac:dyDescent="0.4">
      <c r="A26" s="57" t="str">
        <f>Cards!$B$25</f>
        <v>Reframe The Rate</v>
      </c>
      <c r="B26" s="18" t="str">
        <f>Cards!$D$25&amp;" energy"</f>
        <v>1 energy</v>
      </c>
      <c r="C26" s="58" t="str">
        <f>IF(Cards!$G$25&gt;0,"+"&amp;TEXT(Cards!$G$25,"0.0%")&amp;" of budget in "&amp;Cards!$C$25&amp;". ","")&amp;IF(Cards!$I$25&gt;0,"Shield "&amp;Cards!$I$25&amp;". ","")&amp;IF(Cards!$J$25&lt;&gt;"","Counters: "&amp;Cards!$J$25&amp;". ","")&amp;IF(Cards!$H$25&gt;0,"-"&amp;TEXT(Cards!$H$25,"0%")&amp;" resistance. ","")&amp;IF(Cards!$K$25&gt;0,"Draw "&amp;Cards!$K$25&amp;". ","")&amp;IF(Cards!$L$25&gt;0,"Next turn +"&amp;TEXT(Cards!$L$25,"0%")&amp;" value. ","")&amp;IF(Cards!$E$25&gt;0,"Costs "&amp;Cards!$E$25&amp;" patience.","")</f>
        <v xml:space="preserve">Shield 4. Counters: preapproved. </v>
      </c>
      <c r="D26" s="19" t="str">
        <f>Cards!$Q$25</f>
        <v>Forget the rate. Look at the monthly. Only look at the monthly.</v>
      </c>
    </row>
    <row r="28" spans="1:4" x14ac:dyDescent="0.4">
      <c r="A28" s="59" t="s">
        <v>330</v>
      </c>
    </row>
    <row r="29" spans="1:4" x14ac:dyDescent="0.4">
      <c r="A29" s="15" t="s">
        <v>259</v>
      </c>
      <c r="B29" s="15" t="s">
        <v>260</v>
      </c>
      <c r="C29" s="15" t="s">
        <v>331</v>
      </c>
      <c r="D29" s="15" t="s">
        <v>87</v>
      </c>
    </row>
    <row r="30" spans="1:4" ht="30" customHeight="1" x14ac:dyDescent="0.4">
      <c r="A30" s="55" t="str">
        <f>Objections!$B$4</f>
        <v>It's Out Of My Budget</v>
      </c>
      <c r="B30" s="29">
        <f>Objections!$C$4</f>
        <v>10</v>
      </c>
      <c r="C30" s="56" t="str">
        <f>IF(Objections!$D$4="-","(no rider)",Objections!$D$4&amp;IF(Objections!$E$4="-",""," "&amp;Objections!$E$4)&amp;IF(Objections!$F$4&gt;0," "&amp;TEXT(Objections!$F$4,"0.00"),"")&amp;"  |  stopped by: "&amp;Objections!$G$4)</f>
        <v>(no rider)</v>
      </c>
      <c r="D30" s="22" t="str">
        <f>Objections!$H$4</f>
        <v>The number has not changed in twenty minutes. They will say it again.</v>
      </c>
    </row>
    <row r="31" spans="1:4" ht="30" customHeight="1" x14ac:dyDescent="0.4">
      <c r="A31" s="57" t="str">
        <f>Objections!$B$5</f>
        <v>The Dealer Down The Road</v>
      </c>
      <c r="B31" s="24">
        <f>Objections!$C$5</f>
        <v>7</v>
      </c>
      <c r="C31" s="58" t="str">
        <f>IF(Objections!$D$5="-","(no rider)",Objections!$D$5&amp;IF(Objections!$E$5="-",""," "&amp;Objections!$E$5)&amp;IF(Objections!$F$5&gt;0," "&amp;TEXT(Objections!$F$5,"0.00"),"")&amp;"  |  stopped by: "&amp;Objections!$G$5)</f>
        <v>raise_resistance vehicle 0.15  |  stopped by: Beat The Quote</v>
      </c>
      <c r="D31" s="19" t="str">
        <f>Objections!$H$5</f>
        <v>They have a screenshot. It is from a different model year. It does not matter.</v>
      </c>
    </row>
    <row r="32" spans="1:4" ht="30" customHeight="1" x14ac:dyDescent="0.4">
      <c r="A32" s="55" t="str">
        <f>Objections!$B$6</f>
        <v>I Don't Need All These Extras</v>
      </c>
      <c r="B32" s="29">
        <f>Objections!$C$6</f>
        <v>6</v>
      </c>
      <c r="C32" s="56" t="str">
        <f>IF(Objections!$D$6="-","(no rider)",Objections!$D$6&amp;IF(Objections!$E$6="-",""," "&amp;Objections!$E$6)&amp;IF(Objections!$F$6&gt;0," "&amp;TEXT(Objections!$F$6,"0.00"),"")&amp;"  |  stopped by: "&amp;Objections!$G$6)</f>
        <v>lock_lane protection  |  stopped by: Justify The Value</v>
      </c>
      <c r="D32" s="22" t="str">
        <f>Objections!$H$6</f>
        <v>Somebody's brother-in-law told them warranties are a scam. Their brother-in-law is right.</v>
      </c>
    </row>
    <row r="33" spans="1:4" ht="30" customHeight="1" x14ac:dyDescent="0.4">
      <c r="A33" s="57" t="str">
        <f>Objections!$B$7</f>
        <v>Let Me Talk To My Spouse</v>
      </c>
      <c r="B33" s="24">
        <f>Objections!$C$7</f>
        <v>4</v>
      </c>
      <c r="C33" s="58" t="str">
        <f>IF(Objections!$D$7="-","(no rider)",Objections!$D$7&amp;IF(Objections!$E$7="-",""," "&amp;Objections!$E$7)&amp;IF(Objections!$F$7&gt;0," "&amp;TEXT(Objections!$F$7,"0.00"),"")&amp;"  |  stopped by: "&amp;Objections!$G$7)</f>
        <v>drain_energy 1.00  |  stopped by: Create Urgency</v>
      </c>
      <c r="D33" s="19" t="str">
        <f>Objections!$H$7</f>
        <v>They are going to step outside and call nobody.</v>
      </c>
    </row>
    <row r="34" spans="1:4" ht="30" customHeight="1" x14ac:dyDescent="0.4">
      <c r="A34" s="55" t="str">
        <f>Objections!$B$8</f>
        <v>I'm Pre-Approved At My Credit Union</v>
      </c>
      <c r="B34" s="29">
        <f>Objections!$C$8</f>
        <v>7</v>
      </c>
      <c r="C34" s="56" t="str">
        <f>IF(Objections!$D$8="-","(no rider)",Objections!$D$8&amp;IF(Objections!$E$8="-",""," "&amp;Objections!$E$8)&amp;IF(Objections!$F$8&gt;0," "&amp;TEXT(Objections!$F$8,"0.00"),"")&amp;"  |  stopped by: "&amp;Objections!$G$8)</f>
        <v>shave_value financing 0.15  |  stopped by: Reframe The Rate</v>
      </c>
      <c r="D34" s="22" t="str">
        <f>Objections!$H$8</f>
        <v>Financing was where the money was. They have found this out.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Assumptions</vt:lpstr>
      <vt:lpstr>Objections</vt:lpstr>
      <vt:lpstr>Cards</vt:lpstr>
      <vt:lpstr>Customers</vt:lpstr>
      <vt:lpstr>Encounter Sim</vt:lpstr>
      <vt:lpstr>Balance Check</vt:lpstr>
      <vt:lpstr>Print &amp; 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Fortich</cp:lastModifiedBy>
  <dcterms:created xsi:type="dcterms:W3CDTF">2026-08-25T14:36:45Z</dcterms:created>
  <dcterms:modified xsi:type="dcterms:W3CDTF">2026-08-25T14:36:56Z</dcterms:modified>
</cp:coreProperties>
</file>